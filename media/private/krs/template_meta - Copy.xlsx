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private\krs\"/>
    </mc:Choice>
  </mc:AlternateContent>
  <xr:revisionPtr revIDLastSave="0" documentId="13_ncr:1_{21C9A02D-79D5-45F0-96ED-02361F71150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ta_doc" sheetId="1" r:id="rId1"/>
    <sheet name="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6" i="2"/>
  <c r="D2" i="2"/>
  <c r="D5" i="2"/>
  <c r="D4" i="2"/>
  <c r="D8" i="2"/>
  <c r="D7" i="2"/>
  <c r="D14" i="2"/>
  <c r="D15" i="2"/>
  <c r="D13" i="2"/>
  <c r="D17" i="2"/>
  <c r="D12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3" i="2"/>
  <c r="A57" i="2"/>
  <c r="A58" i="2"/>
  <c r="A52" i="2"/>
  <c r="A55" i="2"/>
  <c r="A67" i="2"/>
  <c r="A56" i="2"/>
  <c r="A48" i="2"/>
  <c r="A61" i="2"/>
  <c r="A49" i="2"/>
  <c r="A65" i="2"/>
  <c r="A66" i="2"/>
  <c r="A64" i="2"/>
  <c r="A59" i="2"/>
  <c r="A60" i="2"/>
  <c r="A62" i="2"/>
  <c r="A50" i="2"/>
  <c r="A53" i="2"/>
  <c r="A51" i="2"/>
  <c r="A54" i="2"/>
  <c r="A63" i="2"/>
  <c r="A13" i="1"/>
  <c r="A23" i="1"/>
  <c r="A49" i="1"/>
  <c r="A66" i="1"/>
  <c r="A3" i="1"/>
  <c r="A52" i="1"/>
  <c r="A30" i="1"/>
  <c r="A5" i="1"/>
  <c r="A7" i="1"/>
  <c r="A2" i="1"/>
  <c r="A6" i="1"/>
  <c r="A41" i="1"/>
  <c r="A55" i="1"/>
  <c r="A20" i="1"/>
  <c r="A25" i="1"/>
  <c r="A31" i="1"/>
  <c r="A8" i="1"/>
  <c r="A33" i="1"/>
  <c r="A35" i="1"/>
  <c r="A4" i="1"/>
  <c r="A35" i="2"/>
  <c r="A43" i="2"/>
  <c r="A42" i="2"/>
  <c r="A36" i="2"/>
  <c r="A32" i="2"/>
  <c r="A41" i="2"/>
  <c r="A25" i="2"/>
  <c r="A30" i="2"/>
  <c r="A26" i="2"/>
  <c r="A45" i="2"/>
  <c r="A39" i="2"/>
  <c r="A44" i="2"/>
  <c r="A63" i="1"/>
  <c r="A61" i="1"/>
  <c r="A59" i="1"/>
  <c r="A57" i="1"/>
  <c r="A54" i="1"/>
  <c r="A53" i="1"/>
  <c r="A51" i="1"/>
  <c r="A50" i="1"/>
  <c r="A46" i="1"/>
  <c r="A45" i="1"/>
  <c r="A42" i="1"/>
  <c r="A39" i="1"/>
  <c r="A46" i="2"/>
  <c r="A47" i="2"/>
  <c r="A28" i="2"/>
  <c r="A31" i="2"/>
  <c r="A29" i="2"/>
  <c r="A40" i="2"/>
  <c r="A38" i="2"/>
  <c r="A34" i="2"/>
  <c r="A33" i="2"/>
  <c r="A27" i="2"/>
  <c r="A37" i="1"/>
  <c r="A34" i="1"/>
  <c r="A32" i="1"/>
  <c r="A29" i="1"/>
  <c r="A27" i="1"/>
  <c r="A24" i="1"/>
  <c r="A21" i="1"/>
  <c r="A19" i="1"/>
  <c r="A14" i="1"/>
  <c r="A12" i="1"/>
  <c r="A24" i="2"/>
  <c r="A19" i="2"/>
  <c r="A23" i="2"/>
  <c r="A22" i="2"/>
  <c r="A20" i="2"/>
  <c r="A21" i="2"/>
  <c r="A18" i="2"/>
  <c r="A37" i="2"/>
  <c r="A10" i="1"/>
  <c r="A56" i="1"/>
  <c r="A58" i="1"/>
  <c r="A60" i="1"/>
  <c r="A62" i="1"/>
  <c r="A64" i="1"/>
  <c r="A65" i="1"/>
  <c r="A67" i="1"/>
  <c r="A11" i="1"/>
  <c r="A15" i="1"/>
  <c r="A16" i="1"/>
  <c r="A17" i="1"/>
  <c r="A18" i="1"/>
  <c r="A22" i="1"/>
  <c r="A26" i="1"/>
  <c r="A28" i="1"/>
  <c r="A36" i="1"/>
  <c r="A38" i="1"/>
  <c r="A40" i="1"/>
  <c r="A43" i="1"/>
  <c r="A44" i="1"/>
  <c r="A47" i="1"/>
  <c r="A48" i="1"/>
  <c r="A9" i="1"/>
  <c r="A13" i="2"/>
  <c r="A14" i="2"/>
  <c r="A15" i="2"/>
  <c r="A16" i="2"/>
  <c r="A17" i="2"/>
  <c r="A3" i="2"/>
  <c r="A4" i="2"/>
  <c r="A5" i="2"/>
  <c r="A6" i="2"/>
  <c r="A7" i="2"/>
  <c r="A11" i="2"/>
  <c r="A8" i="2"/>
  <c r="A9" i="2"/>
  <c r="A10" i="2"/>
  <c r="A12" i="2"/>
  <c r="A2" i="2"/>
</calcChain>
</file>

<file path=xl/sharedStrings.xml><?xml version="1.0" encoding="utf-8"?>
<sst xmlns="http://schemas.openxmlformats.org/spreadsheetml/2006/main" count="365" uniqueCount="162">
  <si>
    <t>field</t>
  </si>
  <si>
    <t>x</t>
  </si>
  <si>
    <t>y</t>
  </si>
  <si>
    <t>page</t>
  </si>
  <si>
    <t>size</t>
  </si>
  <si>
    <t>color</t>
  </si>
  <si>
    <t>type</t>
  </si>
  <si>
    <t>11MKI00DP05</t>
  </si>
  <si>
    <t>11MKI00AB06</t>
  </si>
  <si>
    <t>value</t>
  </si>
  <si>
    <t>0, 0, 0</t>
  </si>
  <si>
    <t>img</t>
  </si>
  <si>
    <t>check.png</t>
  </si>
  <si>
    <t>11MKP63KL01</t>
  </si>
  <si>
    <t>0, 0, 1</t>
  </si>
  <si>
    <t>0, 0, 2</t>
  </si>
  <si>
    <t>0, 0, 3</t>
  </si>
  <si>
    <t>0, 0, 4</t>
  </si>
  <si>
    <t>0, 0, 5</t>
  </si>
  <si>
    <t>0, 0, 6</t>
  </si>
  <si>
    <t>0, 0, 7</t>
  </si>
  <si>
    <t>0, 0, 8</t>
  </si>
  <si>
    <t>0, 0, 9</t>
  </si>
  <si>
    <t>11MKI00PS02</t>
  </si>
  <si>
    <t>11MKI00AG01</t>
  </si>
  <si>
    <t>11MKP63TI04</t>
  </si>
  <si>
    <t>11MKP63LM05</t>
  </si>
  <si>
    <t>11MKP63AK06</t>
  </si>
  <si>
    <t>11MKI63KK07</t>
  </si>
  <si>
    <t>21MKP63PJ13</t>
  </si>
  <si>
    <t>21MKP63KB15</t>
  </si>
  <si>
    <t>0, 0, 10</t>
  </si>
  <si>
    <t>0, 0, 11</t>
  </si>
  <si>
    <t>0, 0, 12</t>
  </si>
  <si>
    <t>0, 0, 13</t>
  </si>
  <si>
    <t>0, 0, 14</t>
  </si>
  <si>
    <t>21MKP63AO16</t>
  </si>
  <si>
    <t>21MKP63JK09</t>
  </si>
  <si>
    <t>21MKP63PW23</t>
  </si>
  <si>
    <t>21MKP63MK31</t>
  </si>
  <si>
    <t>no</t>
  </si>
  <si>
    <t>0, 0, 15</t>
  </si>
  <si>
    <t>0, 0, 16</t>
  </si>
  <si>
    <t>0, 0, 17</t>
  </si>
  <si>
    <t>0, 0, 18</t>
  </si>
  <si>
    <t>0, 0, 19</t>
  </si>
  <si>
    <t>0, 0, 20</t>
  </si>
  <si>
    <t>0, 0, 21</t>
  </si>
  <si>
    <t>0, 0, 22</t>
  </si>
  <si>
    <t>31MKP63PT28</t>
  </si>
  <si>
    <t>31MKP63CD29</t>
  </si>
  <si>
    <t>31MKP63MP30</t>
  </si>
  <si>
    <t>31MKP63MM20</t>
  </si>
  <si>
    <t>31MKP63IM03</t>
  </si>
  <si>
    <t>31MKP63ML33</t>
  </si>
  <si>
    <t>31MKP63AS19</t>
  </si>
  <si>
    <t>41MKP63KP75</t>
  </si>
  <si>
    <t>42MKP63KN76</t>
  </si>
  <si>
    <t>42MKP63TA77</t>
  </si>
  <si>
    <t>41MKP63CC55</t>
  </si>
  <si>
    <t>41MKP63DF56</t>
  </si>
  <si>
    <t>41MKP63CV57</t>
  </si>
  <si>
    <t>41MKP63PK18</t>
  </si>
  <si>
    <t>41MKP63KS59</t>
  </si>
  <si>
    <t>41MKP63EL60</t>
  </si>
  <si>
    <t>41MKP63EH61</t>
  </si>
  <si>
    <t>41MKP63BI62</t>
  </si>
  <si>
    <t>0, 0, 23</t>
  </si>
  <si>
    <t>0, 0, 24</t>
  </si>
  <si>
    <t>0, 0, 25</t>
  </si>
  <si>
    <t>0, 0, 26</t>
  </si>
  <si>
    <t>0, 0, 27</t>
  </si>
  <si>
    <t>0, 0, 28</t>
  </si>
  <si>
    <t>0, 0, 29</t>
  </si>
  <si>
    <t>0, 0, 30</t>
  </si>
  <si>
    <t>0, 0, 31</t>
  </si>
  <si>
    <t>0, 0, 32</t>
  </si>
  <si>
    <t>41MKP63ER63</t>
  </si>
  <si>
    <t>41MKP63SN64</t>
  </si>
  <si>
    <t>41MKP63SE65</t>
  </si>
  <si>
    <t>41MKP63IO66</t>
  </si>
  <si>
    <t>41MKP63EC67</t>
  </si>
  <si>
    <t>41MKP63PM68</t>
  </si>
  <si>
    <t>41MKP63AD69</t>
  </si>
  <si>
    <t>41MKP63DE70</t>
  </si>
  <si>
    <t>41MKP63BC71</t>
  </si>
  <si>
    <t>41MKP63VR72</t>
  </si>
  <si>
    <t>41MKP63MD73</t>
  </si>
  <si>
    <t>41MKP63TD74</t>
  </si>
  <si>
    <t>0, 0, 33</t>
  </si>
  <si>
    <t>0, 0, 34</t>
  </si>
  <si>
    <t>0, 0, 35</t>
  </si>
  <si>
    <t>0, 0, 36</t>
  </si>
  <si>
    <t>0, 0, 37</t>
  </si>
  <si>
    <t>0, 0, 38</t>
  </si>
  <si>
    <t>0, 0, 39</t>
  </si>
  <si>
    <t>0, 0, 40</t>
  </si>
  <si>
    <t>0, 0, 41</t>
  </si>
  <si>
    <t>0, 0, 42</t>
  </si>
  <si>
    <t>0, 0, 43</t>
  </si>
  <si>
    <t>0, 0, 44</t>
  </si>
  <si>
    <t>ALAMAT</t>
  </si>
  <si>
    <t>0,0,0</t>
  </si>
  <si>
    <t>text</t>
  </si>
  <si>
    <t>JUMLAH_SKS</t>
  </si>
  <si>
    <t>NAMA_DOSEN_PA</t>
  </si>
  <si>
    <t>NAMA_KAPRODI</t>
  </si>
  <si>
    <t>NIDN_DOSEN_PA</t>
  </si>
  <si>
    <t>NIDN_KAPRODI</t>
  </si>
  <si>
    <t>NIM</t>
  </si>
  <si>
    <t>NO_HP</t>
  </si>
  <si>
    <t>SEMESTER</t>
  </si>
  <si>
    <t>TAHUN_AJARAN</t>
  </si>
  <si>
    <t>TANGGAL_DISETUJUI_DOSEN_PA</t>
  </si>
  <si>
    <t>TANGGAL_DISETUJUI_KAPRODI</t>
  </si>
  <si>
    <t>TANGGAL_PENGISIAN</t>
  </si>
  <si>
    <t>TTD_DOSEN_PA</t>
  </si>
  <si>
    <t>TTD_KAPRODI</t>
  </si>
  <si>
    <t>TTD_MAHASISWA</t>
  </si>
  <si>
    <t>TTD_NAMA</t>
  </si>
  <si>
    <t>TTD_NIM</t>
  </si>
  <si>
    <t>TTL</t>
  </si>
  <si>
    <t xml:space="preserve"> </t>
  </si>
  <si>
    <t>nama mahasiswa</t>
  </si>
  <si>
    <t>nim</t>
  </si>
  <si>
    <t>no hp</t>
  </si>
  <si>
    <t>tanggal pengisisian</t>
  </si>
  <si>
    <t>jumlah sks</t>
  </si>
  <si>
    <t>ttd nama</t>
  </si>
  <si>
    <t>ttd nim</t>
  </si>
  <si>
    <t>tanggal disetujui dosen</t>
  </si>
  <si>
    <t>tanggal disetujui kaprodi</t>
  </si>
  <si>
    <t>nama dosen pa</t>
  </si>
  <si>
    <t>nidn dosen pa</t>
  </si>
  <si>
    <t>nama kaprodi</t>
  </si>
  <si>
    <t>ini tempat tanggal lahir</t>
  </si>
  <si>
    <t>ttd_dosen_pa.png</t>
  </si>
  <si>
    <t>ttd_mahasiswa.png</t>
  </si>
  <si>
    <t>basis data</t>
  </si>
  <si>
    <t>pemrograman java</t>
  </si>
  <si>
    <t>tertukar</t>
  </si>
  <si>
    <t>semester</t>
  </si>
  <si>
    <t>mata_kuliah</t>
  </si>
  <si>
    <t>AKHLAK DAN BUDAYA BUTON</t>
  </si>
  <si>
    <t>BAHASA INGGRIS</t>
  </si>
  <si>
    <t>KALKULUS</t>
  </si>
  <si>
    <t>PANCASILA</t>
  </si>
  <si>
    <t>AGAMA</t>
  </si>
  <si>
    <t>PENGANTAR TEKNOLOGI INFORMASI</t>
  </si>
  <si>
    <t>LOGIKA DAN ALGORITMA PEMROGRAMAN + (PRAK)</t>
  </si>
  <si>
    <t>APLIKASI KOMPUTER KANTOR</t>
  </si>
  <si>
    <t>KOKURIKULER</t>
  </si>
  <si>
    <t>urutan</t>
  </si>
  <si>
    <t>PEMROGRAMAN JAVA</t>
  </si>
  <si>
    <t>BASIS DATA</t>
  </si>
  <si>
    <t>AI</t>
  </si>
  <si>
    <t>ARSITEKTUR DAN ORGANISASI</t>
  </si>
  <si>
    <t>JARINGAN KOMPUTER</t>
  </si>
  <si>
    <t>PEMROGRAMAN WEB</t>
  </si>
  <si>
    <t>MIKROKONTROLLER</t>
  </si>
  <si>
    <t>21MKP63BD14</t>
  </si>
  <si>
    <t>NAMA_MAHASISWA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</si>
</sst>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31F10-43FF-459A-8E5E-4E230DA938CD}" name="Table1" displayName="Table1" ref="A1:J67" totalsRowShown="0" headerRowDxfId="3" headerRowBorderDxfId="2" tableBorderDxfId="1">
  <sortState xmlns:xlrd2="http://schemas.microsoft.com/office/spreadsheetml/2017/richdata2" ref="A2:J67">
    <sortCondition ref="D5:D67"/>
  </sortState>
  <tableColumns count="10">
    <tableColumn id="8" xr3:uid="{658F6AB9-E8EC-4033-86D9-41B67E7F5023}" name="no" dataDxfId="0">
      <calculatedColumnFormula>IF(B2&lt;&gt;"",ROW()-1,"")</calculatedColumnFormula>
    </tableColumn>
    <tableColumn id="1" xr3:uid="{98109FC4-9796-4E66-87F8-4BA839553517}" name="field"/>
    <tableColumn id="2" xr3:uid="{3B75D6C5-0526-45BF-879C-E8F80734ECD7}" name="x"/>
    <tableColumn id="3" xr3:uid="{D3CE66F7-792F-477F-B678-40E9198A2F08}" name="y"/>
    <tableColumn id="4" xr3:uid="{7BB45FAC-D77D-4214-A9BC-DA89BB334EF1}" name="page"/>
    <tableColumn id="5" xr3:uid="{0650376F-18BF-4108-87AB-C5B226130542}" name="size"/>
    <tableColumn id="6" xr3:uid="{CA2E0ECF-ACC3-4DDA-B4D7-0C75C40DC6A0}" name="color"/>
    <tableColumn id="7" xr3:uid="{B913003D-87D6-4CC7-B0CB-B11A75C946E5}" name="type"/>
    <tableColumn id="9" xr3:uid="{B7FE9784-6783-446D-96CD-3F50D0E048B0}" name="mata_kuliah"/>
    <tableColumn id="10" xr3:uid="{F9068825-2FFD-4958-A243-49CA62826277}" name="seme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AF36D-06DA-4E7F-A475-9C2F7F49E3B3}" name="Table2" displayName="Table2" ref="A1:F67" totalsRowShown="0" headerRowDxfId="10" headerRowBorderDxfId="9" tableBorderDxfId="8">
  <sortState xmlns:xlrd2="http://schemas.microsoft.com/office/spreadsheetml/2017/richdata2" ref="A2:F67">
    <sortCondition ref="E15:E67"/>
  </sortState>
  <tableColumns count="6">
    <tableColumn id="3" xr3:uid="{BB63C87D-7FE7-4B6F-B97C-C805C7B12D42}" name="no" dataDxfId="7">
      <calculatedColumnFormula>IF(B2&lt;&gt;"",ROW()-1,"")</calculatedColumnFormula>
    </tableColumn>
    <tableColumn id="1" xr3:uid="{03773F52-B9C7-49F0-8EC2-0FD829159F18}" name="field"/>
    <tableColumn id="2" xr3:uid="{62D7D22E-7C06-4227-9BF2-248487C041E9}" name="value"/>
    <tableColumn id="4" xr3:uid="{19A44D9D-B179-415B-A7B0-182CED995CB7}" name="mata_kuliah" dataDxfId="6">
      <calculatedColumnFormula>_xlfn.XLOOKUP(Table2[[#This Row],[field]],Table1[field],Table1[mata_kuliah],"")</calculatedColumnFormula>
    </tableColumn>
    <tableColumn id="6" xr3:uid="{469FE995-C3A2-4F67-B2D6-E9C4CD43D03D}" name="urutan" dataDxfId="5"/>
    <tableColumn id="5" xr3:uid="{A88F1E7D-335C-4DF7-B2F1-65D02B9DAA18}" name="semester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showGridLines="0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4.5" x14ac:dyDescent="0.35"/>
  <cols>
    <col min="1" max="1" width="8.7265625" customWidth="1"/>
    <col min="2" max="2" width="28.6328125" bestFit="1" customWidth="1"/>
    <col min="9" max="9" width="25.7265625" bestFit="1" customWidth="1"/>
  </cols>
  <sheetData>
    <row r="1" spans="1:10" x14ac:dyDescent="0.35">
      <c r="A1" s="2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142</v>
      </c>
      <c r="J1" s="1" t="s">
        <v>141</v>
      </c>
    </row>
    <row r="2" spans="1:10" x14ac:dyDescent="0.35">
      <c r="A2" s="3">
        <f t="shared" ref="A2:A33" si="0">IF(B2&lt;&gt;"",ROW()-1,"")</f>
        <v>1</v>
      </c>
      <c r="B2" t="s">
        <v>111</v>
      </c>
      <c r="C2">
        <v>425</v>
      </c>
      <c r="D2">
        <v>73</v>
      </c>
      <c r="E2">
        <v>1</v>
      </c>
      <c r="F2">
        <v>8</v>
      </c>
      <c r="G2" t="s">
        <v>102</v>
      </c>
      <c r="H2" t="s">
        <v>103</v>
      </c>
    </row>
    <row r="3" spans="1:10" x14ac:dyDescent="0.35">
      <c r="A3" s="3">
        <f t="shared" si="0"/>
        <v>2</v>
      </c>
      <c r="B3" t="s">
        <v>161</v>
      </c>
      <c r="C3">
        <v>110</v>
      </c>
      <c r="D3">
        <v>125</v>
      </c>
      <c r="E3">
        <v>1</v>
      </c>
      <c r="F3">
        <v>8</v>
      </c>
      <c r="G3" t="s">
        <v>102</v>
      </c>
      <c r="H3" t="s">
        <v>103</v>
      </c>
    </row>
    <row r="4" spans="1:10" x14ac:dyDescent="0.35">
      <c r="A4" s="3">
        <f t="shared" si="0"/>
        <v>3</v>
      </c>
      <c r="B4" t="s">
        <v>121</v>
      </c>
      <c r="C4">
        <v>430</v>
      </c>
      <c r="D4">
        <v>126</v>
      </c>
      <c r="E4">
        <v>1</v>
      </c>
      <c r="F4">
        <v>8</v>
      </c>
      <c r="G4" t="s">
        <v>102</v>
      </c>
      <c r="H4" t="s">
        <v>103</v>
      </c>
    </row>
    <row r="5" spans="1:10" x14ac:dyDescent="0.35">
      <c r="A5" s="3">
        <f t="shared" si="0"/>
        <v>4</v>
      </c>
      <c r="B5" t="s">
        <v>109</v>
      </c>
      <c r="C5">
        <v>110</v>
      </c>
      <c r="D5">
        <v>135</v>
      </c>
      <c r="E5">
        <v>1</v>
      </c>
      <c r="F5">
        <v>8</v>
      </c>
      <c r="G5" t="s">
        <v>102</v>
      </c>
      <c r="H5" t="s">
        <v>103</v>
      </c>
    </row>
    <row r="6" spans="1:10" x14ac:dyDescent="0.35">
      <c r="A6" s="3">
        <f t="shared" si="0"/>
        <v>5</v>
      </c>
      <c r="B6" t="s">
        <v>112</v>
      </c>
      <c r="C6">
        <v>110</v>
      </c>
      <c r="D6">
        <v>135</v>
      </c>
      <c r="E6">
        <v>1</v>
      </c>
      <c r="F6">
        <v>8</v>
      </c>
      <c r="G6" t="s">
        <v>102</v>
      </c>
      <c r="H6" t="s">
        <v>103</v>
      </c>
    </row>
    <row r="7" spans="1:10" x14ac:dyDescent="0.35">
      <c r="A7" s="3">
        <f t="shared" si="0"/>
        <v>6</v>
      </c>
      <c r="B7" t="s">
        <v>110</v>
      </c>
      <c r="C7">
        <v>430</v>
      </c>
      <c r="D7">
        <v>136</v>
      </c>
      <c r="E7">
        <v>1</v>
      </c>
      <c r="F7">
        <v>8</v>
      </c>
      <c r="G7" t="s">
        <v>102</v>
      </c>
      <c r="H7" t="s">
        <v>103</v>
      </c>
    </row>
    <row r="8" spans="1:10" x14ac:dyDescent="0.35">
      <c r="A8" s="3">
        <f t="shared" si="0"/>
        <v>7</v>
      </c>
      <c r="B8" t="s">
        <v>118</v>
      </c>
      <c r="C8">
        <v>630</v>
      </c>
      <c r="D8">
        <v>160</v>
      </c>
      <c r="E8">
        <v>1</v>
      </c>
      <c r="F8">
        <v>200</v>
      </c>
      <c r="G8" t="s">
        <v>102</v>
      </c>
      <c r="H8" t="s">
        <v>11</v>
      </c>
    </row>
    <row r="9" spans="1:10" x14ac:dyDescent="0.35">
      <c r="A9" s="3">
        <f t="shared" si="0"/>
        <v>8</v>
      </c>
      <c r="B9" t="s">
        <v>7</v>
      </c>
      <c r="C9">
        <v>94</v>
      </c>
      <c r="D9">
        <v>164</v>
      </c>
      <c r="E9">
        <v>1</v>
      </c>
      <c r="F9">
        <v>8</v>
      </c>
      <c r="G9" t="s">
        <v>10</v>
      </c>
      <c r="H9" t="s">
        <v>11</v>
      </c>
      <c r="I9" t="s">
        <v>144</v>
      </c>
      <c r="J9">
        <v>1</v>
      </c>
    </row>
    <row r="10" spans="1:10" x14ac:dyDescent="0.35">
      <c r="A10" s="3">
        <f t="shared" si="0"/>
        <v>9</v>
      </c>
      <c r="B10" t="s">
        <v>56</v>
      </c>
      <c r="C10">
        <v>418</v>
      </c>
      <c r="D10">
        <v>164</v>
      </c>
      <c r="E10">
        <v>1</v>
      </c>
      <c r="F10">
        <v>8</v>
      </c>
      <c r="G10" t="s">
        <v>48</v>
      </c>
      <c r="H10" t="s">
        <v>11</v>
      </c>
    </row>
    <row r="11" spans="1:10" x14ac:dyDescent="0.35">
      <c r="A11" s="3">
        <f t="shared" si="0"/>
        <v>10</v>
      </c>
      <c r="B11" t="s">
        <v>8</v>
      </c>
      <c r="C11">
        <v>94</v>
      </c>
      <c r="D11">
        <v>174</v>
      </c>
      <c r="E11">
        <v>1</v>
      </c>
      <c r="F11">
        <v>8</v>
      </c>
      <c r="G11" t="s">
        <v>10</v>
      </c>
      <c r="H11" t="s">
        <v>11</v>
      </c>
      <c r="I11" t="s">
        <v>143</v>
      </c>
      <c r="J11">
        <v>1</v>
      </c>
    </row>
    <row r="12" spans="1:10" x14ac:dyDescent="0.35">
      <c r="A12" s="3">
        <f t="shared" si="0"/>
        <v>11</v>
      </c>
      <c r="B12" t="s">
        <v>57</v>
      </c>
      <c r="C12">
        <v>418</v>
      </c>
      <c r="D12">
        <v>174</v>
      </c>
      <c r="E12">
        <v>1</v>
      </c>
      <c r="F12">
        <v>8</v>
      </c>
      <c r="G12" t="s">
        <v>67</v>
      </c>
      <c r="H12" t="s">
        <v>11</v>
      </c>
    </row>
    <row r="13" spans="1:10" x14ac:dyDescent="0.35">
      <c r="A13" s="3">
        <f t="shared" si="0"/>
        <v>12</v>
      </c>
      <c r="B13" t="s">
        <v>101</v>
      </c>
      <c r="C13">
        <v>110</v>
      </c>
      <c r="D13">
        <v>175</v>
      </c>
      <c r="E13">
        <v>1</v>
      </c>
      <c r="F13">
        <v>8</v>
      </c>
      <c r="G13" t="s">
        <v>102</v>
      </c>
      <c r="H13" t="s">
        <v>103</v>
      </c>
    </row>
    <row r="14" spans="1:10" x14ac:dyDescent="0.35">
      <c r="A14" s="3">
        <f t="shared" si="0"/>
        <v>13</v>
      </c>
      <c r="B14" t="s">
        <v>58</v>
      </c>
      <c r="C14">
        <v>418</v>
      </c>
      <c r="D14">
        <v>183</v>
      </c>
      <c r="E14">
        <v>1</v>
      </c>
      <c r="F14">
        <v>8</v>
      </c>
      <c r="G14" t="s">
        <v>68</v>
      </c>
      <c r="H14" t="s">
        <v>11</v>
      </c>
    </row>
    <row r="15" spans="1:10" x14ac:dyDescent="0.35">
      <c r="A15" s="3">
        <f t="shared" si="0"/>
        <v>14</v>
      </c>
      <c r="B15" t="s">
        <v>13</v>
      </c>
      <c r="C15">
        <v>94</v>
      </c>
      <c r="D15">
        <v>184</v>
      </c>
      <c r="E15">
        <v>1</v>
      </c>
      <c r="F15">
        <v>8</v>
      </c>
      <c r="G15" t="s">
        <v>14</v>
      </c>
      <c r="H15" t="s">
        <v>11</v>
      </c>
      <c r="I15" t="s">
        <v>145</v>
      </c>
      <c r="J15">
        <v>1</v>
      </c>
    </row>
    <row r="16" spans="1:10" x14ac:dyDescent="0.35">
      <c r="A16" s="3">
        <f t="shared" si="0"/>
        <v>15</v>
      </c>
      <c r="B16" t="s">
        <v>23</v>
      </c>
      <c r="C16">
        <v>94</v>
      </c>
      <c r="D16">
        <v>193</v>
      </c>
      <c r="E16">
        <v>1</v>
      </c>
      <c r="F16">
        <v>8</v>
      </c>
      <c r="G16" t="s">
        <v>15</v>
      </c>
      <c r="H16" t="s">
        <v>11</v>
      </c>
      <c r="I16" t="s">
        <v>146</v>
      </c>
      <c r="J16">
        <v>1</v>
      </c>
    </row>
    <row r="17" spans="1:10" x14ac:dyDescent="0.35">
      <c r="A17" s="3">
        <f t="shared" si="0"/>
        <v>16</v>
      </c>
      <c r="B17" t="s">
        <v>24</v>
      </c>
      <c r="C17">
        <v>94</v>
      </c>
      <c r="D17">
        <v>203</v>
      </c>
      <c r="E17">
        <v>1</v>
      </c>
      <c r="F17">
        <v>8</v>
      </c>
      <c r="G17" t="s">
        <v>16</v>
      </c>
      <c r="H17" t="s">
        <v>11</v>
      </c>
      <c r="I17" t="s">
        <v>147</v>
      </c>
      <c r="J17">
        <v>1</v>
      </c>
    </row>
    <row r="18" spans="1:10" x14ac:dyDescent="0.35">
      <c r="A18" s="3">
        <f t="shared" si="0"/>
        <v>17</v>
      </c>
      <c r="B18" t="s">
        <v>25</v>
      </c>
      <c r="C18">
        <v>94</v>
      </c>
      <c r="D18">
        <v>212</v>
      </c>
      <c r="E18">
        <v>1</v>
      </c>
      <c r="F18">
        <v>8</v>
      </c>
      <c r="G18" t="s">
        <v>17</v>
      </c>
      <c r="H18" t="s">
        <v>11</v>
      </c>
      <c r="I18" t="s">
        <v>148</v>
      </c>
      <c r="J18">
        <v>1</v>
      </c>
    </row>
    <row r="19" spans="1:10" x14ac:dyDescent="0.35">
      <c r="A19" s="3">
        <f t="shared" si="0"/>
        <v>18</v>
      </c>
      <c r="B19" t="s">
        <v>59</v>
      </c>
      <c r="C19">
        <v>418</v>
      </c>
      <c r="D19">
        <v>212</v>
      </c>
      <c r="E19">
        <v>1</v>
      </c>
      <c r="F19">
        <v>8</v>
      </c>
      <c r="G19" t="s">
        <v>69</v>
      </c>
      <c r="H19" t="s">
        <v>11</v>
      </c>
    </row>
    <row r="20" spans="1:10" x14ac:dyDescent="0.35">
      <c r="A20" s="3">
        <f t="shared" si="0"/>
        <v>19</v>
      </c>
      <c r="B20" t="s">
        <v>115</v>
      </c>
      <c r="C20">
        <v>704</v>
      </c>
      <c r="D20">
        <v>219</v>
      </c>
      <c r="E20">
        <v>1</v>
      </c>
      <c r="F20">
        <v>8</v>
      </c>
      <c r="G20" t="s">
        <v>102</v>
      </c>
      <c r="H20" t="s">
        <v>103</v>
      </c>
    </row>
    <row r="21" spans="1:10" x14ac:dyDescent="0.35">
      <c r="A21" s="3">
        <f t="shared" si="0"/>
        <v>20</v>
      </c>
      <c r="B21" t="s">
        <v>60</v>
      </c>
      <c r="C21">
        <v>418</v>
      </c>
      <c r="D21">
        <v>221</v>
      </c>
      <c r="E21">
        <v>1</v>
      </c>
      <c r="F21">
        <v>8</v>
      </c>
      <c r="G21" t="s">
        <v>70</v>
      </c>
      <c r="H21" t="s">
        <v>11</v>
      </c>
    </row>
    <row r="22" spans="1:10" x14ac:dyDescent="0.35">
      <c r="A22" s="3">
        <f t="shared" si="0"/>
        <v>21</v>
      </c>
      <c r="B22" t="s">
        <v>26</v>
      </c>
      <c r="C22">
        <v>94</v>
      </c>
      <c r="D22">
        <v>222</v>
      </c>
      <c r="E22">
        <v>1</v>
      </c>
      <c r="F22">
        <v>8</v>
      </c>
      <c r="G22" t="s">
        <v>18</v>
      </c>
      <c r="H22" t="s">
        <v>11</v>
      </c>
      <c r="I22" t="s">
        <v>149</v>
      </c>
    </row>
    <row r="23" spans="1:10" x14ac:dyDescent="0.35">
      <c r="A23" s="3">
        <f t="shared" si="0"/>
        <v>22</v>
      </c>
      <c r="B23" t="s">
        <v>104</v>
      </c>
      <c r="C23">
        <v>710</v>
      </c>
      <c r="D23">
        <v>228</v>
      </c>
      <c r="E23">
        <v>1</v>
      </c>
      <c r="F23">
        <v>8</v>
      </c>
      <c r="G23" t="s">
        <v>102</v>
      </c>
      <c r="H23" t="s">
        <v>103</v>
      </c>
    </row>
    <row r="24" spans="1:10" x14ac:dyDescent="0.35">
      <c r="A24" s="3">
        <f t="shared" si="0"/>
        <v>23</v>
      </c>
      <c r="B24" t="s">
        <v>61</v>
      </c>
      <c r="C24">
        <v>418</v>
      </c>
      <c r="D24">
        <v>230</v>
      </c>
      <c r="E24">
        <v>1</v>
      </c>
      <c r="F24">
        <v>8</v>
      </c>
      <c r="G24" t="s">
        <v>71</v>
      </c>
      <c r="H24" t="s">
        <v>11</v>
      </c>
    </row>
    <row r="25" spans="1:10" x14ac:dyDescent="0.35">
      <c r="A25" s="3">
        <f t="shared" si="0"/>
        <v>24</v>
      </c>
      <c r="B25" t="s">
        <v>116</v>
      </c>
      <c r="C25">
        <v>630</v>
      </c>
      <c r="D25">
        <v>230</v>
      </c>
      <c r="E25">
        <v>1</v>
      </c>
      <c r="F25">
        <v>200</v>
      </c>
      <c r="G25" t="s">
        <v>102</v>
      </c>
      <c r="H25" t="s">
        <v>11</v>
      </c>
    </row>
    <row r="26" spans="1:10" x14ac:dyDescent="0.35">
      <c r="A26" s="3">
        <f t="shared" si="0"/>
        <v>25</v>
      </c>
      <c r="B26" t="s">
        <v>27</v>
      </c>
      <c r="C26">
        <v>94</v>
      </c>
      <c r="D26">
        <v>231</v>
      </c>
      <c r="E26">
        <v>1</v>
      </c>
      <c r="F26">
        <v>8</v>
      </c>
      <c r="G26" t="s">
        <v>19</v>
      </c>
      <c r="H26" t="s">
        <v>11</v>
      </c>
      <c r="I26" t="s">
        <v>150</v>
      </c>
      <c r="J26">
        <v>1</v>
      </c>
    </row>
    <row r="27" spans="1:10" x14ac:dyDescent="0.35">
      <c r="A27" s="3">
        <f t="shared" si="0"/>
        <v>26</v>
      </c>
      <c r="B27" t="s">
        <v>62</v>
      </c>
      <c r="C27">
        <v>418</v>
      </c>
      <c r="D27">
        <v>239</v>
      </c>
      <c r="E27">
        <v>1</v>
      </c>
      <c r="F27">
        <v>8</v>
      </c>
      <c r="G27" t="s">
        <v>72</v>
      </c>
      <c r="H27" t="s">
        <v>11</v>
      </c>
    </row>
    <row r="28" spans="1:10" x14ac:dyDescent="0.35">
      <c r="A28" s="3">
        <f t="shared" si="0"/>
        <v>27</v>
      </c>
      <c r="B28" t="s">
        <v>28</v>
      </c>
      <c r="C28">
        <v>94</v>
      </c>
      <c r="D28">
        <v>240</v>
      </c>
      <c r="E28">
        <v>1</v>
      </c>
      <c r="F28">
        <v>8</v>
      </c>
      <c r="G28" t="s">
        <v>20</v>
      </c>
      <c r="H28" t="s">
        <v>11</v>
      </c>
      <c r="I28" t="s">
        <v>151</v>
      </c>
      <c r="J28">
        <v>1</v>
      </c>
    </row>
    <row r="29" spans="1:10" x14ac:dyDescent="0.35">
      <c r="A29" s="3">
        <f t="shared" si="0"/>
        <v>28</v>
      </c>
      <c r="B29" t="s">
        <v>63</v>
      </c>
      <c r="C29">
        <v>418</v>
      </c>
      <c r="D29">
        <v>259</v>
      </c>
      <c r="E29">
        <v>1</v>
      </c>
      <c r="F29">
        <v>8</v>
      </c>
      <c r="G29" t="s">
        <v>73</v>
      </c>
      <c r="H29" t="s">
        <v>11</v>
      </c>
    </row>
    <row r="30" spans="1:10" x14ac:dyDescent="0.35">
      <c r="A30" s="3">
        <f t="shared" si="0"/>
        <v>29</v>
      </c>
      <c r="B30" t="s">
        <v>108</v>
      </c>
      <c r="C30">
        <v>110</v>
      </c>
      <c r="D30">
        <v>265</v>
      </c>
      <c r="E30">
        <v>1</v>
      </c>
      <c r="F30">
        <v>8</v>
      </c>
      <c r="G30" t="s">
        <v>102</v>
      </c>
      <c r="H30" t="s">
        <v>103</v>
      </c>
    </row>
    <row r="31" spans="1:10" x14ac:dyDescent="0.35">
      <c r="A31" s="3">
        <f t="shared" si="0"/>
        <v>30</v>
      </c>
      <c r="B31" t="s">
        <v>117</v>
      </c>
      <c r="C31">
        <v>110</v>
      </c>
      <c r="D31">
        <v>265</v>
      </c>
      <c r="E31">
        <v>1</v>
      </c>
      <c r="F31">
        <v>8</v>
      </c>
      <c r="G31" t="s">
        <v>102</v>
      </c>
      <c r="H31" t="s">
        <v>103</v>
      </c>
    </row>
    <row r="32" spans="1:10" x14ac:dyDescent="0.35">
      <c r="A32" s="3">
        <f t="shared" si="0"/>
        <v>31</v>
      </c>
      <c r="B32" t="s">
        <v>64</v>
      </c>
      <c r="C32">
        <v>418</v>
      </c>
      <c r="D32">
        <v>269</v>
      </c>
      <c r="E32">
        <v>1</v>
      </c>
      <c r="F32">
        <v>8</v>
      </c>
      <c r="G32" t="s">
        <v>74</v>
      </c>
      <c r="H32" t="s">
        <v>11</v>
      </c>
    </row>
    <row r="33" spans="1:10" x14ac:dyDescent="0.35">
      <c r="A33" s="3">
        <f t="shared" si="0"/>
        <v>32</v>
      </c>
      <c r="B33" t="s">
        <v>119</v>
      </c>
      <c r="C33">
        <v>690</v>
      </c>
      <c r="D33">
        <v>275</v>
      </c>
      <c r="E33">
        <v>1</v>
      </c>
      <c r="F33">
        <v>8</v>
      </c>
      <c r="G33" t="s">
        <v>102</v>
      </c>
      <c r="H33" t="s">
        <v>103</v>
      </c>
    </row>
    <row r="34" spans="1:10" x14ac:dyDescent="0.35">
      <c r="A34" s="3">
        <f t="shared" ref="A34:A65" si="1">IF(B34&lt;&gt;"",ROW()-1,"")</f>
        <v>33</v>
      </c>
      <c r="B34" t="s">
        <v>65</v>
      </c>
      <c r="C34">
        <v>418</v>
      </c>
      <c r="D34">
        <v>278</v>
      </c>
      <c r="E34">
        <v>1</v>
      </c>
      <c r="F34">
        <v>8</v>
      </c>
      <c r="G34" t="s">
        <v>75</v>
      </c>
      <c r="H34" t="s">
        <v>11</v>
      </c>
    </row>
    <row r="35" spans="1:10" x14ac:dyDescent="0.35">
      <c r="A35" s="3">
        <f t="shared" si="1"/>
        <v>34</v>
      </c>
      <c r="B35" t="s">
        <v>120</v>
      </c>
      <c r="C35">
        <v>704</v>
      </c>
      <c r="D35">
        <v>287</v>
      </c>
      <c r="E35">
        <v>1</v>
      </c>
      <c r="F35">
        <v>8</v>
      </c>
      <c r="G35" t="s">
        <v>102</v>
      </c>
      <c r="H35" t="s">
        <v>103</v>
      </c>
    </row>
    <row r="36" spans="1:10" x14ac:dyDescent="0.35">
      <c r="A36" s="3">
        <f t="shared" si="1"/>
        <v>35</v>
      </c>
      <c r="B36" t="s">
        <v>29</v>
      </c>
      <c r="C36">
        <v>94</v>
      </c>
      <c r="D36">
        <v>288</v>
      </c>
      <c r="E36">
        <v>1</v>
      </c>
      <c r="F36">
        <v>8</v>
      </c>
      <c r="G36" t="s">
        <v>21</v>
      </c>
      <c r="H36" t="s">
        <v>11</v>
      </c>
      <c r="I36" t="s">
        <v>153</v>
      </c>
      <c r="J36">
        <v>1</v>
      </c>
    </row>
    <row r="37" spans="1:10" x14ac:dyDescent="0.35">
      <c r="A37" s="3">
        <f t="shared" si="1"/>
        <v>36</v>
      </c>
      <c r="B37" t="s">
        <v>66</v>
      </c>
      <c r="C37">
        <v>418</v>
      </c>
      <c r="D37">
        <v>288</v>
      </c>
      <c r="E37">
        <v>1</v>
      </c>
      <c r="F37">
        <v>8</v>
      </c>
      <c r="G37" t="s">
        <v>76</v>
      </c>
      <c r="H37" t="s">
        <v>11</v>
      </c>
    </row>
    <row r="38" spans="1:10" x14ac:dyDescent="0.35">
      <c r="A38" s="3">
        <f t="shared" si="1"/>
        <v>37</v>
      </c>
      <c r="B38" t="s">
        <v>160</v>
      </c>
      <c r="C38">
        <v>94</v>
      </c>
      <c r="D38">
        <v>297</v>
      </c>
      <c r="E38">
        <v>1</v>
      </c>
      <c r="F38">
        <v>8</v>
      </c>
      <c r="G38" t="s">
        <v>22</v>
      </c>
      <c r="H38" t="s">
        <v>11</v>
      </c>
      <c r="I38" t="s">
        <v>154</v>
      </c>
    </row>
    <row r="39" spans="1:10" x14ac:dyDescent="0.35">
      <c r="A39" s="3">
        <f t="shared" si="1"/>
        <v>38</v>
      </c>
      <c r="B39" t="s">
        <v>77</v>
      </c>
      <c r="C39">
        <v>418</v>
      </c>
      <c r="D39">
        <v>306</v>
      </c>
      <c r="E39">
        <v>1</v>
      </c>
      <c r="F39">
        <v>8</v>
      </c>
      <c r="G39" t="s">
        <v>89</v>
      </c>
      <c r="H39" t="s">
        <v>11</v>
      </c>
    </row>
    <row r="40" spans="1:10" x14ac:dyDescent="0.35">
      <c r="A40" s="3">
        <f t="shared" si="1"/>
        <v>39</v>
      </c>
      <c r="B40" t="s">
        <v>30</v>
      </c>
      <c r="C40">
        <v>94</v>
      </c>
      <c r="D40">
        <v>307</v>
      </c>
      <c r="E40">
        <v>1</v>
      </c>
      <c r="F40">
        <v>8</v>
      </c>
      <c r="G40" t="s">
        <v>31</v>
      </c>
      <c r="H40" t="s">
        <v>11</v>
      </c>
      <c r="I40" t="s">
        <v>155</v>
      </c>
    </row>
    <row r="41" spans="1:10" x14ac:dyDescent="0.35">
      <c r="A41" s="3">
        <f t="shared" si="1"/>
        <v>40</v>
      </c>
      <c r="B41" t="s">
        <v>113</v>
      </c>
      <c r="C41">
        <v>687</v>
      </c>
      <c r="D41">
        <v>314</v>
      </c>
      <c r="E41">
        <v>1</v>
      </c>
      <c r="F41">
        <v>8</v>
      </c>
      <c r="G41" t="s">
        <v>102</v>
      </c>
      <c r="H41" t="s">
        <v>103</v>
      </c>
    </row>
    <row r="42" spans="1:10" x14ac:dyDescent="0.35">
      <c r="A42" s="3">
        <f t="shared" si="1"/>
        <v>41</v>
      </c>
      <c r="B42" t="s">
        <v>78</v>
      </c>
      <c r="C42">
        <v>418</v>
      </c>
      <c r="D42">
        <v>315</v>
      </c>
      <c r="E42">
        <v>1</v>
      </c>
      <c r="F42">
        <v>8</v>
      </c>
      <c r="G42" t="s">
        <v>90</v>
      </c>
      <c r="H42" t="s">
        <v>11</v>
      </c>
    </row>
    <row r="43" spans="1:10" x14ac:dyDescent="0.35">
      <c r="A43" s="3">
        <f t="shared" si="1"/>
        <v>42</v>
      </c>
      <c r="B43" t="s">
        <v>36</v>
      </c>
      <c r="C43">
        <v>94</v>
      </c>
      <c r="D43">
        <v>316</v>
      </c>
      <c r="E43">
        <v>1</v>
      </c>
      <c r="F43">
        <v>8</v>
      </c>
      <c r="G43" t="s">
        <v>32</v>
      </c>
      <c r="H43" t="s">
        <v>11</v>
      </c>
      <c r="I43" t="s">
        <v>156</v>
      </c>
    </row>
    <row r="44" spans="1:10" x14ac:dyDescent="0.35">
      <c r="A44" s="3">
        <f t="shared" si="1"/>
        <v>43</v>
      </c>
      <c r="B44" t="s">
        <v>37</v>
      </c>
      <c r="C44">
        <v>94</v>
      </c>
      <c r="D44">
        <v>325</v>
      </c>
      <c r="E44">
        <v>1</v>
      </c>
      <c r="F44">
        <v>8</v>
      </c>
      <c r="G44" t="s">
        <v>33</v>
      </c>
      <c r="H44" t="s">
        <v>11</v>
      </c>
      <c r="I44" t="s">
        <v>157</v>
      </c>
    </row>
    <row r="45" spans="1:10" x14ac:dyDescent="0.35">
      <c r="A45" s="3">
        <f t="shared" si="1"/>
        <v>44</v>
      </c>
      <c r="B45" t="s">
        <v>79</v>
      </c>
      <c r="C45">
        <v>418</v>
      </c>
      <c r="D45">
        <v>325</v>
      </c>
      <c r="E45">
        <v>1</v>
      </c>
      <c r="F45">
        <v>8</v>
      </c>
      <c r="G45" t="s">
        <v>91</v>
      </c>
      <c r="H45" t="s">
        <v>11</v>
      </c>
    </row>
    <row r="46" spans="1:10" x14ac:dyDescent="0.35">
      <c r="A46" s="3">
        <f t="shared" si="1"/>
        <v>45</v>
      </c>
      <c r="B46" t="s">
        <v>80</v>
      </c>
      <c r="C46">
        <v>418</v>
      </c>
      <c r="D46">
        <v>334</v>
      </c>
      <c r="E46">
        <v>1</v>
      </c>
      <c r="F46">
        <v>8</v>
      </c>
      <c r="G46" t="s">
        <v>92</v>
      </c>
      <c r="H46" t="s">
        <v>11</v>
      </c>
    </row>
    <row r="47" spans="1:10" x14ac:dyDescent="0.35">
      <c r="A47" s="3">
        <f t="shared" si="1"/>
        <v>46</v>
      </c>
      <c r="B47" t="s">
        <v>38</v>
      </c>
      <c r="C47">
        <v>94</v>
      </c>
      <c r="D47">
        <v>335</v>
      </c>
      <c r="E47">
        <v>1</v>
      </c>
      <c r="F47">
        <v>8</v>
      </c>
      <c r="G47" t="s">
        <v>34</v>
      </c>
      <c r="H47" t="s">
        <v>11</v>
      </c>
      <c r="I47" t="s">
        <v>158</v>
      </c>
    </row>
    <row r="48" spans="1:10" x14ac:dyDescent="0.35">
      <c r="A48" s="3">
        <f t="shared" si="1"/>
        <v>47</v>
      </c>
      <c r="B48" t="s">
        <v>39</v>
      </c>
      <c r="C48">
        <v>94</v>
      </c>
      <c r="D48">
        <v>345</v>
      </c>
      <c r="E48">
        <v>1</v>
      </c>
      <c r="F48">
        <v>8</v>
      </c>
      <c r="G48" t="s">
        <v>35</v>
      </c>
      <c r="H48" t="s">
        <v>11</v>
      </c>
      <c r="I48" t="s">
        <v>159</v>
      </c>
    </row>
    <row r="49" spans="1:8" x14ac:dyDescent="0.35">
      <c r="A49" s="3">
        <f t="shared" si="1"/>
        <v>48</v>
      </c>
      <c r="B49" t="s">
        <v>105</v>
      </c>
      <c r="C49">
        <v>690</v>
      </c>
      <c r="D49">
        <v>350</v>
      </c>
      <c r="E49">
        <v>1</v>
      </c>
      <c r="F49">
        <v>8</v>
      </c>
      <c r="G49" t="s">
        <v>102</v>
      </c>
      <c r="H49" t="s">
        <v>103</v>
      </c>
    </row>
    <row r="50" spans="1:8" x14ac:dyDescent="0.35">
      <c r="A50" s="3">
        <f t="shared" si="1"/>
        <v>49</v>
      </c>
      <c r="B50" t="s">
        <v>81</v>
      </c>
      <c r="C50">
        <v>418</v>
      </c>
      <c r="D50">
        <v>353</v>
      </c>
      <c r="E50">
        <v>1</v>
      </c>
      <c r="F50">
        <v>8</v>
      </c>
      <c r="G50" t="s">
        <v>93</v>
      </c>
      <c r="H50" t="s">
        <v>11</v>
      </c>
    </row>
    <row r="51" spans="1:8" x14ac:dyDescent="0.35">
      <c r="A51" s="3">
        <f t="shared" si="1"/>
        <v>50</v>
      </c>
      <c r="B51" t="s">
        <v>82</v>
      </c>
      <c r="C51">
        <v>418</v>
      </c>
      <c r="D51">
        <v>362</v>
      </c>
      <c r="E51">
        <v>1</v>
      </c>
      <c r="F51">
        <v>8</v>
      </c>
      <c r="G51" t="s">
        <v>94</v>
      </c>
      <c r="H51" t="s">
        <v>11</v>
      </c>
    </row>
    <row r="52" spans="1:8" x14ac:dyDescent="0.35">
      <c r="A52" s="3">
        <f t="shared" si="1"/>
        <v>51</v>
      </c>
      <c r="B52" t="s">
        <v>107</v>
      </c>
      <c r="C52">
        <v>705</v>
      </c>
      <c r="D52">
        <v>362</v>
      </c>
      <c r="E52">
        <v>1</v>
      </c>
      <c r="F52">
        <v>8</v>
      </c>
      <c r="G52" t="s">
        <v>102</v>
      </c>
      <c r="H52" t="s">
        <v>103</v>
      </c>
    </row>
    <row r="53" spans="1:8" x14ac:dyDescent="0.35">
      <c r="A53" s="3">
        <f t="shared" si="1"/>
        <v>52</v>
      </c>
      <c r="B53" t="s">
        <v>83</v>
      </c>
      <c r="C53">
        <v>418</v>
      </c>
      <c r="D53">
        <v>372</v>
      </c>
      <c r="E53">
        <v>1</v>
      </c>
      <c r="F53">
        <v>8</v>
      </c>
      <c r="G53" t="s">
        <v>95</v>
      </c>
      <c r="H53" t="s">
        <v>11</v>
      </c>
    </row>
    <row r="54" spans="1:8" x14ac:dyDescent="0.35">
      <c r="A54" s="3">
        <f t="shared" si="1"/>
        <v>53</v>
      </c>
      <c r="B54" t="s">
        <v>84</v>
      </c>
      <c r="C54">
        <v>418</v>
      </c>
      <c r="D54">
        <v>382</v>
      </c>
      <c r="E54">
        <v>1</v>
      </c>
      <c r="F54">
        <v>8</v>
      </c>
      <c r="G54" t="s">
        <v>96</v>
      </c>
      <c r="H54" t="s">
        <v>11</v>
      </c>
    </row>
    <row r="55" spans="1:8" x14ac:dyDescent="0.35">
      <c r="A55" s="3">
        <f t="shared" si="1"/>
        <v>54</v>
      </c>
      <c r="B55" t="s">
        <v>114</v>
      </c>
      <c r="C55">
        <v>687</v>
      </c>
      <c r="D55">
        <v>390</v>
      </c>
      <c r="E55">
        <v>1</v>
      </c>
      <c r="F55">
        <v>8</v>
      </c>
      <c r="G55" t="s">
        <v>102</v>
      </c>
      <c r="H55" t="s">
        <v>103</v>
      </c>
    </row>
    <row r="56" spans="1:8" x14ac:dyDescent="0.35">
      <c r="A56" s="3">
        <f t="shared" si="1"/>
        <v>55</v>
      </c>
      <c r="B56" t="s">
        <v>49</v>
      </c>
      <c r="C56">
        <v>94</v>
      </c>
      <c r="D56">
        <v>393</v>
      </c>
      <c r="E56">
        <v>1</v>
      </c>
      <c r="F56">
        <v>8</v>
      </c>
      <c r="G56" t="s">
        <v>41</v>
      </c>
      <c r="H56" t="s">
        <v>11</v>
      </c>
    </row>
    <row r="57" spans="1:8" x14ac:dyDescent="0.35">
      <c r="A57" s="3">
        <f t="shared" si="1"/>
        <v>56</v>
      </c>
      <c r="B57" t="s">
        <v>85</v>
      </c>
      <c r="C57">
        <v>418</v>
      </c>
      <c r="D57">
        <v>401</v>
      </c>
      <c r="E57">
        <v>1</v>
      </c>
      <c r="F57">
        <v>8</v>
      </c>
      <c r="G57" t="s">
        <v>97</v>
      </c>
      <c r="H57" t="s">
        <v>11</v>
      </c>
    </row>
    <row r="58" spans="1:8" x14ac:dyDescent="0.35">
      <c r="A58" s="3">
        <f t="shared" si="1"/>
        <v>57</v>
      </c>
      <c r="B58" t="s">
        <v>50</v>
      </c>
      <c r="C58">
        <v>94</v>
      </c>
      <c r="D58">
        <v>402</v>
      </c>
      <c r="E58">
        <v>1</v>
      </c>
      <c r="F58">
        <v>8</v>
      </c>
      <c r="G58" t="s">
        <v>42</v>
      </c>
      <c r="H58" t="s">
        <v>11</v>
      </c>
    </row>
    <row r="59" spans="1:8" x14ac:dyDescent="0.35">
      <c r="A59" s="3">
        <f t="shared" si="1"/>
        <v>58</v>
      </c>
      <c r="B59" t="s">
        <v>86</v>
      </c>
      <c r="C59">
        <v>418</v>
      </c>
      <c r="D59">
        <v>410</v>
      </c>
      <c r="E59">
        <v>1</v>
      </c>
      <c r="F59">
        <v>8</v>
      </c>
      <c r="G59" t="s">
        <v>98</v>
      </c>
      <c r="H59" t="s">
        <v>11</v>
      </c>
    </row>
    <row r="60" spans="1:8" x14ac:dyDescent="0.35">
      <c r="A60" s="3">
        <f t="shared" si="1"/>
        <v>59</v>
      </c>
      <c r="B60" t="s">
        <v>51</v>
      </c>
      <c r="C60">
        <v>94</v>
      </c>
      <c r="D60">
        <v>411</v>
      </c>
      <c r="E60">
        <v>1</v>
      </c>
      <c r="F60">
        <v>8</v>
      </c>
      <c r="G60" t="s">
        <v>43</v>
      </c>
      <c r="H60" t="s">
        <v>11</v>
      </c>
    </row>
    <row r="61" spans="1:8" x14ac:dyDescent="0.35">
      <c r="A61" s="3">
        <f t="shared" si="1"/>
        <v>60</v>
      </c>
      <c r="B61" t="s">
        <v>87</v>
      </c>
      <c r="C61">
        <v>418</v>
      </c>
      <c r="D61">
        <v>419</v>
      </c>
      <c r="E61">
        <v>1</v>
      </c>
      <c r="F61">
        <v>8</v>
      </c>
      <c r="G61" t="s">
        <v>99</v>
      </c>
      <c r="H61" t="s">
        <v>11</v>
      </c>
    </row>
    <row r="62" spans="1:8" x14ac:dyDescent="0.35">
      <c r="A62" s="3">
        <f t="shared" si="1"/>
        <v>61</v>
      </c>
      <c r="B62" t="s">
        <v>52</v>
      </c>
      <c r="C62">
        <v>94</v>
      </c>
      <c r="D62">
        <v>420</v>
      </c>
      <c r="E62">
        <v>1</v>
      </c>
      <c r="F62">
        <v>8</v>
      </c>
      <c r="G62" t="s">
        <v>44</v>
      </c>
      <c r="H62" t="s">
        <v>11</v>
      </c>
    </row>
    <row r="63" spans="1:8" x14ac:dyDescent="0.35">
      <c r="A63" s="3">
        <f t="shared" si="1"/>
        <v>62</v>
      </c>
      <c r="B63" t="s">
        <v>88</v>
      </c>
      <c r="C63">
        <v>418</v>
      </c>
      <c r="D63">
        <v>429</v>
      </c>
      <c r="E63">
        <v>1</v>
      </c>
      <c r="F63">
        <v>8</v>
      </c>
      <c r="G63" t="s">
        <v>100</v>
      </c>
      <c r="H63" t="s">
        <v>11</v>
      </c>
    </row>
    <row r="64" spans="1:8" x14ac:dyDescent="0.35">
      <c r="A64" s="3">
        <f t="shared" si="1"/>
        <v>63</v>
      </c>
      <c r="B64" t="s">
        <v>53</v>
      </c>
      <c r="C64">
        <v>94</v>
      </c>
      <c r="D64">
        <v>430</v>
      </c>
      <c r="E64">
        <v>1</v>
      </c>
      <c r="F64">
        <v>8</v>
      </c>
      <c r="G64" t="s">
        <v>45</v>
      </c>
      <c r="H64" t="s">
        <v>11</v>
      </c>
    </row>
    <row r="65" spans="1:8" x14ac:dyDescent="0.35">
      <c r="A65" s="3">
        <f t="shared" si="1"/>
        <v>64</v>
      </c>
      <c r="B65" t="s">
        <v>54</v>
      </c>
      <c r="C65">
        <v>94</v>
      </c>
      <c r="D65">
        <v>440</v>
      </c>
      <c r="E65">
        <v>1</v>
      </c>
      <c r="F65">
        <v>8</v>
      </c>
      <c r="G65" t="s">
        <v>46</v>
      </c>
      <c r="H65" t="s">
        <v>11</v>
      </c>
    </row>
    <row r="66" spans="1:8" x14ac:dyDescent="0.35">
      <c r="A66" s="3">
        <f t="shared" ref="A66:A67" si="2">IF(B66&lt;&gt;"",ROW()-1,"")</f>
        <v>65</v>
      </c>
      <c r="B66" t="s">
        <v>106</v>
      </c>
      <c r="C66">
        <v>690</v>
      </c>
      <c r="D66">
        <v>440</v>
      </c>
      <c r="E66">
        <v>1</v>
      </c>
      <c r="F66">
        <v>8</v>
      </c>
      <c r="G66" t="s">
        <v>102</v>
      </c>
      <c r="H66" t="s">
        <v>103</v>
      </c>
    </row>
    <row r="67" spans="1:8" x14ac:dyDescent="0.35">
      <c r="A67" s="3">
        <f t="shared" si="2"/>
        <v>66</v>
      </c>
      <c r="B67" t="s">
        <v>55</v>
      </c>
      <c r="C67">
        <v>94</v>
      </c>
      <c r="D67">
        <v>449</v>
      </c>
      <c r="E67">
        <v>1</v>
      </c>
      <c r="F67">
        <v>8</v>
      </c>
      <c r="G67" t="s">
        <v>47</v>
      </c>
      <c r="H67" t="s">
        <v>11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964C-AA69-463B-A419-AA28B0E8A5B0}">
  <dimension ref="A1:H67"/>
  <sheetViews>
    <sheetView showGridLines="0"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6" sqref="C56"/>
    </sheetView>
  </sheetViews>
  <sheetFormatPr defaultRowHeight="14.5" x14ac:dyDescent="0.35"/>
  <cols>
    <col min="1" max="1" width="7.26953125" customWidth="1"/>
    <col min="2" max="2" width="17.453125" customWidth="1"/>
    <col min="3" max="3" width="21.453125" bestFit="1" customWidth="1"/>
    <col min="4" max="6" width="21.453125" customWidth="1"/>
  </cols>
  <sheetData>
    <row r="1" spans="1:8" x14ac:dyDescent="0.35">
      <c r="A1" s="2" t="s">
        <v>40</v>
      </c>
      <c r="B1" s="1" t="s">
        <v>0</v>
      </c>
      <c r="C1" s="1" t="s">
        <v>9</v>
      </c>
      <c r="D1" s="1" t="s">
        <v>142</v>
      </c>
      <c r="E1" s="2" t="s">
        <v>152</v>
      </c>
      <c r="F1" s="1" t="s">
        <v>141</v>
      </c>
    </row>
    <row r="2" spans="1:8" x14ac:dyDescent="0.35">
      <c r="A2" s="3">
        <f t="shared" ref="A2:A33" si="0">IF(B2&lt;&gt;"",ROW()-1,"")</f>
        <v>1</v>
      </c>
      <c r="B2" t="s">
        <v>7</v>
      </c>
      <c r="C2" t="s">
        <v>12</v>
      </c>
      <c r="D2" s="4" t="str">
        <f>_xlfn.XLOOKUP(Table2[[#This Row],[field]],Table1[field],Table1[mata_kuliah],"")</f>
        <v>BAHASA INGGRIS</v>
      </c>
      <c r="E2" s="4">
        <v>1</v>
      </c>
      <c r="F2" s="4">
        <v>1</v>
      </c>
    </row>
    <row r="3" spans="1:8" x14ac:dyDescent="0.35">
      <c r="A3" s="3">
        <f t="shared" si="0"/>
        <v>2</v>
      </c>
      <c r="B3" t="s">
        <v>8</v>
      </c>
      <c r="C3" t="s">
        <v>12</v>
      </c>
      <c r="D3" s="4" t="str">
        <f>_xlfn.XLOOKUP(Table2[[#This Row],[field]],Table1[field],Table1[mata_kuliah],"")</f>
        <v>AKHLAK DAN BUDAYA BUTON</v>
      </c>
      <c r="E3" s="4">
        <v>2</v>
      </c>
      <c r="F3" s="4">
        <v>1</v>
      </c>
    </row>
    <row r="4" spans="1:8" x14ac:dyDescent="0.35">
      <c r="A4" s="3">
        <f t="shared" si="0"/>
        <v>3</v>
      </c>
      <c r="B4" t="s">
        <v>13</v>
      </c>
      <c r="C4" t="s">
        <v>12</v>
      </c>
      <c r="D4" s="4" t="str">
        <f>_xlfn.XLOOKUP(Table2[[#This Row],[field]],Table1[field],Table1[mata_kuliah],"")</f>
        <v>KALKULUS</v>
      </c>
      <c r="E4" s="4">
        <v>3</v>
      </c>
      <c r="F4" s="4">
        <v>1</v>
      </c>
    </row>
    <row r="5" spans="1:8" x14ac:dyDescent="0.35">
      <c r="A5" s="3">
        <f t="shared" si="0"/>
        <v>4</v>
      </c>
      <c r="B5" t="s">
        <v>23</v>
      </c>
      <c r="C5" t="s">
        <v>12</v>
      </c>
      <c r="D5" s="4" t="str">
        <f>_xlfn.XLOOKUP(Table2[[#This Row],[field]],Table1[field],Table1[mata_kuliah],"")</f>
        <v>PANCASILA</v>
      </c>
      <c r="E5" s="4">
        <v>4</v>
      </c>
      <c r="F5" s="4">
        <v>1</v>
      </c>
    </row>
    <row r="6" spans="1:8" x14ac:dyDescent="0.35">
      <c r="A6" s="3">
        <f t="shared" si="0"/>
        <v>5</v>
      </c>
      <c r="B6" t="s">
        <v>24</v>
      </c>
      <c r="C6" t="s">
        <v>12</v>
      </c>
      <c r="D6" s="4" t="str">
        <f>_xlfn.XLOOKUP(Table2[[#This Row],[field]],Table1[field],Table1[mata_kuliah],"")</f>
        <v>AGAMA</v>
      </c>
      <c r="E6" s="4">
        <v>5</v>
      </c>
      <c r="F6" s="4">
        <v>1</v>
      </c>
    </row>
    <row r="7" spans="1:8" x14ac:dyDescent="0.35">
      <c r="A7" s="3">
        <f t="shared" si="0"/>
        <v>6</v>
      </c>
      <c r="B7" t="s">
        <v>25</v>
      </c>
      <c r="C7" t="s">
        <v>12</v>
      </c>
      <c r="D7" s="4" t="str">
        <f>_xlfn.XLOOKUP(Table2[[#This Row],[field]],Table1[field],Table1[mata_kuliah],"")</f>
        <v>PENGANTAR TEKNOLOGI INFORMASI</v>
      </c>
      <c r="E7" s="4">
        <v>6</v>
      </c>
      <c r="F7" s="4">
        <v>1</v>
      </c>
      <c r="H7" t="s">
        <v>139</v>
      </c>
    </row>
    <row r="8" spans="1:8" x14ac:dyDescent="0.35">
      <c r="A8" s="3">
        <f t="shared" si="0"/>
        <v>7</v>
      </c>
      <c r="B8" t="s">
        <v>26</v>
      </c>
      <c r="C8" t="s">
        <v>12</v>
      </c>
      <c r="D8" s="4" t="str">
        <f>_xlfn.XLOOKUP(Table2[[#This Row],[field]],Table1[field],Table1[mata_kuliah],"")</f>
        <v>LOGIKA DAN ALGORITMA PEMROGRAMAN + (PRAK)</v>
      </c>
      <c r="E8" s="4">
        <v>7</v>
      </c>
      <c r="F8" s="4">
        <v>1</v>
      </c>
    </row>
    <row r="9" spans="1:8" x14ac:dyDescent="0.35">
      <c r="A9" s="3">
        <f t="shared" si="0"/>
        <v>8</v>
      </c>
      <c r="B9" t="s">
        <v>27</v>
      </c>
      <c r="C9" t="s">
        <v>12</v>
      </c>
      <c r="D9" s="4" t="str">
        <f>_xlfn.XLOOKUP(Table2[[#This Row],[field]],Table1[field],Table1[mata_kuliah],"")</f>
        <v>APLIKASI KOMPUTER KANTOR</v>
      </c>
      <c r="E9" s="4">
        <v>8</v>
      </c>
      <c r="F9" s="4">
        <v>1</v>
      </c>
    </row>
    <row r="10" spans="1:8" x14ac:dyDescent="0.35">
      <c r="A10" s="3">
        <f t="shared" si="0"/>
        <v>9</v>
      </c>
      <c r="B10" t="s">
        <v>28</v>
      </c>
      <c r="C10" t="s">
        <v>12</v>
      </c>
      <c r="D10" s="4" t="str">
        <f>_xlfn.XLOOKUP(Table2[[#This Row],[field]],Table1[field],Table1[mata_kuliah],"")</f>
        <v>KOKURIKULER</v>
      </c>
      <c r="E10" s="4">
        <v>9</v>
      </c>
      <c r="F10" s="4">
        <v>1</v>
      </c>
      <c r="H10" t="s">
        <v>140</v>
      </c>
    </row>
    <row r="11" spans="1:8" x14ac:dyDescent="0.35">
      <c r="A11" s="3">
        <f t="shared" si="0"/>
        <v>10</v>
      </c>
      <c r="B11" t="s">
        <v>160</v>
      </c>
      <c r="C11" t="s">
        <v>12</v>
      </c>
      <c r="D11" s="4" t="str">
        <f>_xlfn.XLOOKUP(Table2[[#This Row],[field]],Table1[field],Table1[mata_kuliah],"")</f>
        <v>BASIS DATA</v>
      </c>
      <c r="E11" s="4">
        <v>10</v>
      </c>
      <c r="F11" s="4">
        <v>3</v>
      </c>
    </row>
    <row r="12" spans="1:8" x14ac:dyDescent="0.35">
      <c r="A12" s="3">
        <f t="shared" si="0"/>
        <v>11</v>
      </c>
      <c r="B12" t="s">
        <v>29</v>
      </c>
      <c r="C12" t="s">
        <v>12</v>
      </c>
      <c r="D12" s="4" t="str">
        <f>_xlfn.XLOOKUP(Table2[[#This Row],[field]],Table1[field],Table1[mata_kuliah],"")</f>
        <v>PEMROGRAMAN JAVA</v>
      </c>
      <c r="E12" s="4">
        <v>11</v>
      </c>
      <c r="F12" s="4">
        <v>3</v>
      </c>
    </row>
    <row r="13" spans="1:8" x14ac:dyDescent="0.35">
      <c r="A13" s="3">
        <f t="shared" si="0"/>
        <v>12</v>
      </c>
      <c r="B13" t="s">
        <v>30</v>
      </c>
      <c r="C13" t="s">
        <v>12</v>
      </c>
      <c r="D13" s="4" t="str">
        <f>_xlfn.XLOOKUP(Table2[[#This Row],[field]],Table1[field],Table1[mata_kuliah],"")</f>
        <v>AI</v>
      </c>
      <c r="E13" s="4">
        <v>12</v>
      </c>
      <c r="F13" s="4">
        <v>3</v>
      </c>
    </row>
    <row r="14" spans="1:8" x14ac:dyDescent="0.35">
      <c r="A14" s="3">
        <f t="shared" si="0"/>
        <v>13</v>
      </c>
      <c r="B14" t="s">
        <v>36</v>
      </c>
      <c r="C14" t="s">
        <v>12</v>
      </c>
      <c r="D14" s="4" t="str">
        <f>_xlfn.XLOOKUP(Table2[[#This Row],[field]],Table1[field],Table1[mata_kuliah],"")</f>
        <v>ARSITEKTUR DAN ORGANISASI</v>
      </c>
      <c r="E14" s="4">
        <v>13</v>
      </c>
      <c r="F14" s="4">
        <v>3</v>
      </c>
    </row>
    <row r="15" spans="1:8" x14ac:dyDescent="0.35">
      <c r="A15" s="3">
        <f t="shared" si="0"/>
        <v>14</v>
      </c>
      <c r="B15" t="s">
        <v>37</v>
      </c>
      <c r="C15" t="s">
        <v>12</v>
      </c>
      <c r="D15" s="4" t="str">
        <f>_xlfn.XLOOKUP(Table2[[#This Row],[field]],Table1[field],Table1[mata_kuliah],"")</f>
        <v>JARINGAN KOMPUTER</v>
      </c>
      <c r="E15" s="4">
        <v>14</v>
      </c>
      <c r="F15" s="4">
        <v>3</v>
      </c>
    </row>
    <row r="16" spans="1:8" x14ac:dyDescent="0.35">
      <c r="A16" s="3">
        <f t="shared" si="0"/>
        <v>15</v>
      </c>
      <c r="B16" t="s">
        <v>38</v>
      </c>
      <c r="C16" t="s">
        <v>12</v>
      </c>
      <c r="D16" s="4" t="str">
        <f>_xlfn.XLOOKUP(Table2[[#This Row],[field]],Table1[field],Table1[mata_kuliah],"")</f>
        <v>PEMROGRAMAN WEB</v>
      </c>
      <c r="E16" s="4">
        <v>15</v>
      </c>
      <c r="F16" s="4">
        <v>3</v>
      </c>
      <c r="H16" t="s">
        <v>138</v>
      </c>
    </row>
    <row r="17" spans="1:6" x14ac:dyDescent="0.35">
      <c r="A17" s="3">
        <f t="shared" si="0"/>
        <v>16</v>
      </c>
      <c r="B17" t="s">
        <v>39</v>
      </c>
      <c r="C17" t="s">
        <v>12</v>
      </c>
      <c r="D17" s="4" t="str">
        <f>_xlfn.XLOOKUP(Table2[[#This Row],[field]],Table1[field],Table1[mata_kuliah],"")</f>
        <v>MIKROKONTROLLER</v>
      </c>
      <c r="E17" s="4">
        <v>16</v>
      </c>
      <c r="F17" s="4">
        <v>3</v>
      </c>
    </row>
    <row r="18" spans="1:6" x14ac:dyDescent="0.35">
      <c r="A18" s="3">
        <f t="shared" si="0"/>
        <v>17</v>
      </c>
      <c r="B18" t="s">
        <v>55</v>
      </c>
      <c r="C18" t="s">
        <v>12</v>
      </c>
      <c r="D18" s="4">
        <f>_xlfn.XLOOKUP(Table2[[#This Row],[field]],Table1[field],Table1[mata_kuliah],"")</f>
        <v>0</v>
      </c>
      <c r="E18" s="4"/>
      <c r="F18" s="4"/>
    </row>
    <row r="19" spans="1:6" x14ac:dyDescent="0.35">
      <c r="A19" s="3">
        <f t="shared" si="0"/>
        <v>18</v>
      </c>
      <c r="B19" t="s">
        <v>50</v>
      </c>
      <c r="C19" t="s">
        <v>12</v>
      </c>
      <c r="D19" s="4">
        <f>_xlfn.XLOOKUP(Table2[[#This Row],[field]],Table1[field],Table1[mata_kuliah],"")</f>
        <v>0</v>
      </c>
      <c r="E19" s="4"/>
      <c r="F19" s="4"/>
    </row>
    <row r="20" spans="1:6" x14ac:dyDescent="0.35">
      <c r="A20" s="3">
        <f t="shared" si="0"/>
        <v>19</v>
      </c>
      <c r="B20" t="s">
        <v>53</v>
      </c>
      <c r="C20" t="s">
        <v>12</v>
      </c>
      <c r="D20" s="4">
        <f>_xlfn.XLOOKUP(Table2[[#This Row],[field]],Table1[field],Table1[mata_kuliah],"")</f>
        <v>0</v>
      </c>
      <c r="E20" s="4"/>
      <c r="F20" s="4"/>
    </row>
    <row r="21" spans="1:6" x14ac:dyDescent="0.35">
      <c r="A21" s="3">
        <f t="shared" si="0"/>
        <v>20</v>
      </c>
      <c r="B21" t="s">
        <v>54</v>
      </c>
      <c r="C21" t="s">
        <v>12</v>
      </c>
      <c r="D21" s="4">
        <f>_xlfn.XLOOKUP(Table2[[#This Row],[field]],Table1[field],Table1[mata_kuliah],"")</f>
        <v>0</v>
      </c>
      <c r="E21" s="4"/>
      <c r="F21" s="4"/>
    </row>
    <row r="22" spans="1:6" x14ac:dyDescent="0.35">
      <c r="A22" s="3">
        <f t="shared" si="0"/>
        <v>21</v>
      </c>
      <c r="B22" t="s">
        <v>52</v>
      </c>
      <c r="C22" t="s">
        <v>12</v>
      </c>
      <c r="D22" s="4">
        <f>_xlfn.XLOOKUP(Table2[[#This Row],[field]],Table1[field],Table1[mata_kuliah],"")</f>
        <v>0</v>
      </c>
      <c r="E22" s="4"/>
      <c r="F22" s="4"/>
    </row>
    <row r="23" spans="1:6" x14ac:dyDescent="0.35">
      <c r="A23" s="3">
        <f t="shared" si="0"/>
        <v>22</v>
      </c>
      <c r="B23" t="s">
        <v>51</v>
      </c>
      <c r="C23" t="s">
        <v>12</v>
      </c>
      <c r="D23" s="4">
        <f>_xlfn.XLOOKUP(Table2[[#This Row],[field]],Table1[field],Table1[mata_kuliah],"")</f>
        <v>0</v>
      </c>
      <c r="E23" s="4"/>
      <c r="F23" s="4"/>
    </row>
    <row r="24" spans="1:6" x14ac:dyDescent="0.35">
      <c r="A24" s="3">
        <f t="shared" si="0"/>
        <v>23</v>
      </c>
      <c r="B24" t="s">
        <v>49</v>
      </c>
      <c r="C24" t="s">
        <v>12</v>
      </c>
      <c r="D24" s="4">
        <f>_xlfn.XLOOKUP(Table2[[#This Row],[field]],Table1[field],Table1[mata_kuliah],"")</f>
        <v>0</v>
      </c>
      <c r="E24" s="4"/>
      <c r="F24" s="4"/>
    </row>
    <row r="25" spans="1:6" x14ac:dyDescent="0.35">
      <c r="A25" s="3">
        <f t="shared" si="0"/>
        <v>24</v>
      </c>
      <c r="B25" t="s">
        <v>83</v>
      </c>
      <c r="C25" t="s">
        <v>12</v>
      </c>
      <c r="D25" s="4">
        <f>_xlfn.XLOOKUP(Table2[[#This Row],[field]],Table1[field],Table1[mata_kuliah],"")</f>
        <v>0</v>
      </c>
      <c r="E25" s="4"/>
      <c r="F25" s="4"/>
    </row>
    <row r="26" spans="1:6" x14ac:dyDescent="0.35">
      <c r="A26" s="3">
        <f t="shared" si="0"/>
        <v>25</v>
      </c>
      <c r="B26" t="s">
        <v>85</v>
      </c>
      <c r="C26" t="s">
        <v>12</v>
      </c>
      <c r="D26" s="4">
        <f>_xlfn.XLOOKUP(Table2[[#This Row],[field]],Table1[field],Table1[mata_kuliah],"")</f>
        <v>0</v>
      </c>
      <c r="E26" s="4"/>
      <c r="F26" s="4"/>
    </row>
    <row r="27" spans="1:6" x14ac:dyDescent="0.35">
      <c r="A27" s="3">
        <f t="shared" si="0"/>
        <v>26</v>
      </c>
      <c r="B27" t="s">
        <v>66</v>
      </c>
      <c r="C27" t="s">
        <v>12</v>
      </c>
      <c r="D27" s="4">
        <f>_xlfn.XLOOKUP(Table2[[#This Row],[field]],Table1[field],Table1[mata_kuliah],"")</f>
        <v>0</v>
      </c>
      <c r="E27" s="4"/>
      <c r="F27" s="4"/>
    </row>
    <row r="28" spans="1:6" x14ac:dyDescent="0.35">
      <c r="A28" s="3">
        <f t="shared" si="0"/>
        <v>27</v>
      </c>
      <c r="B28" t="s">
        <v>59</v>
      </c>
      <c r="C28" t="s">
        <v>12</v>
      </c>
      <c r="D28" s="4">
        <f>_xlfn.XLOOKUP(Table2[[#This Row],[field]],Table1[field],Table1[mata_kuliah],"")</f>
        <v>0</v>
      </c>
      <c r="E28" s="4"/>
      <c r="F28" s="4"/>
    </row>
    <row r="29" spans="1:6" x14ac:dyDescent="0.35">
      <c r="A29" s="3">
        <f t="shared" si="0"/>
        <v>28</v>
      </c>
      <c r="B29" t="s">
        <v>61</v>
      </c>
      <c r="C29" t="s">
        <v>12</v>
      </c>
      <c r="D29" s="4">
        <f>_xlfn.XLOOKUP(Table2[[#This Row],[field]],Table1[field],Table1[mata_kuliah],"")</f>
        <v>0</v>
      </c>
      <c r="E29" s="4"/>
      <c r="F29" s="4"/>
    </row>
    <row r="30" spans="1:6" x14ac:dyDescent="0.35">
      <c r="A30" s="3">
        <f t="shared" si="0"/>
        <v>29</v>
      </c>
      <c r="B30" t="s">
        <v>84</v>
      </c>
      <c r="C30" t="s">
        <v>12</v>
      </c>
      <c r="D30" s="4">
        <f>_xlfn.XLOOKUP(Table2[[#This Row],[field]],Table1[field],Table1[mata_kuliah],"")</f>
        <v>0</v>
      </c>
      <c r="E30" s="4"/>
      <c r="F30" s="4"/>
    </row>
    <row r="31" spans="1:6" x14ac:dyDescent="0.35">
      <c r="A31" s="3">
        <f t="shared" si="0"/>
        <v>30</v>
      </c>
      <c r="B31" t="s">
        <v>60</v>
      </c>
      <c r="C31" t="s">
        <v>12</v>
      </c>
      <c r="D31" s="4">
        <f>_xlfn.XLOOKUP(Table2[[#This Row],[field]],Table1[field],Table1[mata_kuliah],"")</f>
        <v>0</v>
      </c>
      <c r="E31" s="4"/>
      <c r="F31" s="4"/>
    </row>
    <row r="32" spans="1:6" x14ac:dyDescent="0.35">
      <c r="A32" s="3">
        <f t="shared" si="0"/>
        <v>31</v>
      </c>
      <c r="B32" t="s">
        <v>81</v>
      </c>
      <c r="C32" t="s">
        <v>12</v>
      </c>
      <c r="D32" s="4">
        <f>_xlfn.XLOOKUP(Table2[[#This Row],[field]],Table1[field],Table1[mata_kuliah],"")</f>
        <v>0</v>
      </c>
      <c r="E32" s="4"/>
      <c r="F32" s="4"/>
    </row>
    <row r="33" spans="1:6" x14ac:dyDescent="0.35">
      <c r="A33" s="3">
        <f t="shared" si="0"/>
        <v>32</v>
      </c>
      <c r="B33" t="s">
        <v>65</v>
      </c>
      <c r="C33" t="s">
        <v>12</v>
      </c>
      <c r="D33" s="4">
        <f>_xlfn.XLOOKUP(Table2[[#This Row],[field]],Table1[field],Table1[mata_kuliah],"")</f>
        <v>0</v>
      </c>
      <c r="E33" s="4"/>
      <c r="F33" s="4"/>
    </row>
    <row r="34" spans="1:6" x14ac:dyDescent="0.35">
      <c r="A34" s="3">
        <f t="shared" ref="A34:A65" si="1">IF(B34&lt;&gt;"",ROW()-1,"")</f>
        <v>33</v>
      </c>
      <c r="B34" t="s">
        <v>64</v>
      </c>
      <c r="C34" t="s">
        <v>12</v>
      </c>
      <c r="D34" s="4">
        <f>_xlfn.XLOOKUP(Table2[[#This Row],[field]],Table1[field],Table1[mata_kuliah],"")</f>
        <v>0</v>
      </c>
      <c r="E34" s="4"/>
      <c r="F34" s="4"/>
    </row>
    <row r="35" spans="1:6" x14ac:dyDescent="0.35">
      <c r="A35" s="3">
        <f t="shared" si="1"/>
        <v>34</v>
      </c>
      <c r="B35" t="s">
        <v>77</v>
      </c>
      <c r="C35" t="s">
        <v>12</v>
      </c>
      <c r="D35" s="4">
        <f>_xlfn.XLOOKUP(Table2[[#This Row],[field]],Table1[field],Table1[mata_kuliah],"")</f>
        <v>0</v>
      </c>
      <c r="E35" s="4"/>
      <c r="F35" s="4"/>
    </row>
    <row r="36" spans="1:6" x14ac:dyDescent="0.35">
      <c r="A36" s="3">
        <f t="shared" si="1"/>
        <v>35</v>
      </c>
      <c r="B36" t="s">
        <v>80</v>
      </c>
      <c r="C36" t="s">
        <v>12</v>
      </c>
      <c r="D36" s="4">
        <f>_xlfn.XLOOKUP(Table2[[#This Row],[field]],Table1[field],Table1[mata_kuliah],"")</f>
        <v>0</v>
      </c>
      <c r="E36" s="4"/>
      <c r="F36" s="4"/>
    </row>
    <row r="37" spans="1:6" x14ac:dyDescent="0.35">
      <c r="A37" s="3">
        <f t="shared" si="1"/>
        <v>36</v>
      </c>
      <c r="B37" t="s">
        <v>56</v>
      </c>
      <c r="C37" t="s">
        <v>12</v>
      </c>
      <c r="D37" s="4">
        <f>_xlfn.XLOOKUP(Table2[[#This Row],[field]],Table1[field],Table1[mata_kuliah],"")</f>
        <v>0</v>
      </c>
      <c r="E37" s="4"/>
      <c r="F37" s="4"/>
    </row>
    <row r="38" spans="1:6" x14ac:dyDescent="0.35">
      <c r="A38" s="3">
        <f t="shared" si="1"/>
        <v>37</v>
      </c>
      <c r="B38" t="s">
        <v>63</v>
      </c>
      <c r="C38" t="s">
        <v>12</v>
      </c>
      <c r="D38" s="4">
        <f>_xlfn.XLOOKUP(Table2[[#This Row],[field]],Table1[field],Table1[mata_kuliah],"")</f>
        <v>0</v>
      </c>
      <c r="E38" s="4"/>
      <c r="F38" s="4"/>
    </row>
    <row r="39" spans="1:6" x14ac:dyDescent="0.35">
      <c r="A39" s="3">
        <f t="shared" si="1"/>
        <v>38</v>
      </c>
      <c r="B39" t="s">
        <v>87</v>
      </c>
      <c r="C39" t="s">
        <v>12</v>
      </c>
      <c r="D39" s="4">
        <f>_xlfn.XLOOKUP(Table2[[#This Row],[field]],Table1[field],Table1[mata_kuliah],"")</f>
        <v>0</v>
      </c>
      <c r="E39" s="4"/>
      <c r="F39" s="4"/>
    </row>
    <row r="40" spans="1:6" x14ac:dyDescent="0.35">
      <c r="A40" s="3">
        <f t="shared" si="1"/>
        <v>39</v>
      </c>
      <c r="B40" t="s">
        <v>62</v>
      </c>
      <c r="C40" t="s">
        <v>12</v>
      </c>
      <c r="D40" s="4">
        <f>_xlfn.XLOOKUP(Table2[[#This Row],[field]],Table1[field],Table1[mata_kuliah],"")</f>
        <v>0</v>
      </c>
      <c r="E40" s="4"/>
      <c r="F40" s="4"/>
    </row>
    <row r="41" spans="1:6" x14ac:dyDescent="0.35">
      <c r="A41" s="3">
        <f t="shared" si="1"/>
        <v>40</v>
      </c>
      <c r="B41" t="s">
        <v>82</v>
      </c>
      <c r="C41" t="s">
        <v>12</v>
      </c>
      <c r="D41" s="4">
        <f>_xlfn.XLOOKUP(Table2[[#This Row],[field]],Table1[field],Table1[mata_kuliah],"")</f>
        <v>0</v>
      </c>
      <c r="E41" s="4"/>
      <c r="F41" s="4"/>
    </row>
    <row r="42" spans="1:6" x14ac:dyDescent="0.35">
      <c r="A42" s="3">
        <f t="shared" si="1"/>
        <v>41</v>
      </c>
      <c r="B42" t="s">
        <v>79</v>
      </c>
      <c r="C42" t="s">
        <v>12</v>
      </c>
      <c r="D42" s="4">
        <f>_xlfn.XLOOKUP(Table2[[#This Row],[field]],Table1[field],Table1[mata_kuliah],"")</f>
        <v>0</v>
      </c>
      <c r="E42" s="4"/>
      <c r="F42" s="4"/>
    </row>
    <row r="43" spans="1:6" x14ac:dyDescent="0.35">
      <c r="A43" s="3">
        <f t="shared" si="1"/>
        <v>42</v>
      </c>
      <c r="B43" t="s">
        <v>78</v>
      </c>
      <c r="C43" t="s">
        <v>12</v>
      </c>
      <c r="D43" s="4">
        <f>_xlfn.XLOOKUP(Table2[[#This Row],[field]],Table1[field],Table1[mata_kuliah],"")</f>
        <v>0</v>
      </c>
      <c r="E43" s="4"/>
      <c r="F43" s="4"/>
    </row>
    <row r="44" spans="1:6" x14ac:dyDescent="0.35">
      <c r="A44" s="3">
        <f t="shared" si="1"/>
        <v>43</v>
      </c>
      <c r="B44" t="s">
        <v>88</v>
      </c>
      <c r="C44" t="s">
        <v>12</v>
      </c>
      <c r="D44" s="4">
        <f>_xlfn.XLOOKUP(Table2[[#This Row],[field]],Table1[field],Table1[mata_kuliah],"")</f>
        <v>0</v>
      </c>
      <c r="E44" s="4"/>
      <c r="F44" s="4"/>
    </row>
    <row r="45" spans="1:6" x14ac:dyDescent="0.35">
      <c r="A45" s="3">
        <f t="shared" si="1"/>
        <v>44</v>
      </c>
      <c r="B45" t="s">
        <v>86</v>
      </c>
      <c r="C45" t="s">
        <v>12</v>
      </c>
      <c r="D45" s="4">
        <f>_xlfn.XLOOKUP(Table2[[#This Row],[field]],Table1[field],Table1[mata_kuliah],"")</f>
        <v>0</v>
      </c>
      <c r="E45" s="4"/>
      <c r="F45" s="4"/>
    </row>
    <row r="46" spans="1:6" x14ac:dyDescent="0.35">
      <c r="A46" s="3">
        <f t="shared" si="1"/>
        <v>45</v>
      </c>
      <c r="B46" t="s">
        <v>57</v>
      </c>
      <c r="C46" t="s">
        <v>12</v>
      </c>
      <c r="D46" s="4">
        <f>_xlfn.XLOOKUP(Table2[[#This Row],[field]],Table1[field],Table1[mata_kuliah],"")</f>
        <v>0</v>
      </c>
      <c r="E46" s="4"/>
      <c r="F46" s="4"/>
    </row>
    <row r="47" spans="1:6" x14ac:dyDescent="0.35">
      <c r="A47" s="3">
        <f t="shared" si="1"/>
        <v>46</v>
      </c>
      <c r="B47" t="s">
        <v>58</v>
      </c>
      <c r="C47" t="s">
        <v>12</v>
      </c>
      <c r="D47" s="4">
        <f>_xlfn.XLOOKUP(Table2[[#This Row],[field]],Table1[field],Table1[mata_kuliah],"")</f>
        <v>0</v>
      </c>
      <c r="E47" s="4"/>
      <c r="F47" s="4"/>
    </row>
    <row r="48" spans="1:6" x14ac:dyDescent="0.35">
      <c r="A48" s="3">
        <f t="shared" si="1"/>
        <v>47</v>
      </c>
      <c r="B48" t="s">
        <v>101</v>
      </c>
      <c r="C48" t="s">
        <v>122</v>
      </c>
      <c r="D48" s="4">
        <f>_xlfn.XLOOKUP(Table2[[#This Row],[field]],Table1[field],Table1[mata_kuliah],"")</f>
        <v>0</v>
      </c>
      <c r="E48" s="4"/>
      <c r="F48" s="4"/>
    </row>
    <row r="49" spans="1:6" x14ac:dyDescent="0.35">
      <c r="A49" s="3">
        <f t="shared" si="1"/>
        <v>48</v>
      </c>
      <c r="B49" t="s">
        <v>104</v>
      </c>
      <c r="C49" t="s">
        <v>127</v>
      </c>
      <c r="D49" s="4">
        <f>_xlfn.XLOOKUP(Table2[[#This Row],[field]],Table1[field],Table1[mata_kuliah],"")</f>
        <v>0</v>
      </c>
      <c r="E49" s="4"/>
      <c r="F49" s="4"/>
    </row>
    <row r="50" spans="1:6" x14ac:dyDescent="0.35">
      <c r="A50" s="3">
        <f t="shared" si="1"/>
        <v>49</v>
      </c>
      <c r="B50" t="s">
        <v>105</v>
      </c>
      <c r="C50" t="s">
        <v>132</v>
      </c>
      <c r="D50" s="4">
        <f>_xlfn.XLOOKUP(Table2[[#This Row],[field]],Table1[field],Table1[mata_kuliah],"")</f>
        <v>0</v>
      </c>
      <c r="E50" s="4"/>
      <c r="F50" s="4"/>
    </row>
    <row r="51" spans="1:6" x14ac:dyDescent="0.35">
      <c r="A51" s="3">
        <f t="shared" si="1"/>
        <v>50</v>
      </c>
      <c r="B51" t="s">
        <v>106</v>
      </c>
      <c r="C51" t="s">
        <v>134</v>
      </c>
      <c r="D51" s="4">
        <f>_xlfn.XLOOKUP(Table2[[#This Row],[field]],Table1[field],Table1[mata_kuliah],"")</f>
        <v>0</v>
      </c>
      <c r="E51" s="4"/>
      <c r="F51" s="4"/>
    </row>
    <row r="52" spans="1:6" x14ac:dyDescent="0.35">
      <c r="A52" s="3">
        <f t="shared" si="1"/>
        <v>51</v>
      </c>
      <c r="B52" t="s">
        <v>161</v>
      </c>
      <c r="C52" t="s">
        <v>123</v>
      </c>
      <c r="D52" s="4">
        <f>_xlfn.XLOOKUP(Table2[[#This Row],[field]],Table1[field],Table1[mata_kuliah],"")</f>
        <v>0</v>
      </c>
      <c r="E52" s="4"/>
      <c r="F52" s="4"/>
    </row>
    <row r="53" spans="1:6" x14ac:dyDescent="0.35">
      <c r="A53" s="3">
        <f t="shared" si="1"/>
        <v>52</v>
      </c>
      <c r="B53" t="s">
        <v>107</v>
      </c>
      <c r="C53" t="s">
        <v>133</v>
      </c>
      <c r="D53" s="4">
        <f>_xlfn.XLOOKUP(Table2[[#This Row],[field]],Table1[field],Table1[mata_kuliah],"")</f>
        <v>0</v>
      </c>
      <c r="E53" s="4"/>
      <c r="F53" s="4"/>
    </row>
    <row r="54" spans="1:6" x14ac:dyDescent="0.35">
      <c r="A54" s="3">
        <f t="shared" si="1"/>
        <v>53</v>
      </c>
      <c r="B54" t="s">
        <v>108</v>
      </c>
      <c r="C54" t="s">
        <v>122</v>
      </c>
      <c r="D54" s="4">
        <f>_xlfn.XLOOKUP(Table2[[#This Row],[field]],Table1[field],Table1[mata_kuliah],"")</f>
        <v>0</v>
      </c>
      <c r="E54" s="4"/>
      <c r="F54" s="4"/>
    </row>
    <row r="55" spans="1:6" x14ac:dyDescent="0.35">
      <c r="A55" s="3">
        <f t="shared" si="1"/>
        <v>54</v>
      </c>
      <c r="B55" t="s">
        <v>109</v>
      </c>
      <c r="C55" t="s">
        <v>124</v>
      </c>
      <c r="D55" s="4">
        <f>_xlfn.XLOOKUP(Table2[[#This Row],[field]],Table1[field],Table1[mata_kuliah],"")</f>
        <v>0</v>
      </c>
      <c r="E55" s="4"/>
      <c r="F55" s="4"/>
    </row>
    <row r="56" spans="1:6" x14ac:dyDescent="0.35">
      <c r="A56" s="3">
        <f t="shared" si="1"/>
        <v>55</v>
      </c>
      <c r="B56" t="s">
        <v>110</v>
      </c>
      <c r="C56" t="s">
        <v>125</v>
      </c>
      <c r="D56" s="4">
        <f>_xlfn.XLOOKUP(Table2[[#This Row],[field]],Table1[field],Table1[mata_kuliah],"")</f>
        <v>0</v>
      </c>
      <c r="E56" s="4"/>
      <c r="F56" s="4"/>
    </row>
    <row r="57" spans="1:6" x14ac:dyDescent="0.35">
      <c r="A57" s="3">
        <f t="shared" si="1"/>
        <v>56</v>
      </c>
      <c r="B57" t="s">
        <v>111</v>
      </c>
      <c r="C57" t="s">
        <v>122</v>
      </c>
      <c r="D57" s="4">
        <f>_xlfn.XLOOKUP(Table2[[#This Row],[field]],Table1[field],Table1[mata_kuliah],"")</f>
        <v>0</v>
      </c>
      <c r="E57" s="4"/>
      <c r="F57" s="4"/>
    </row>
    <row r="58" spans="1:6" x14ac:dyDescent="0.35">
      <c r="A58" s="3">
        <f t="shared" si="1"/>
        <v>57</v>
      </c>
      <c r="B58" t="s">
        <v>112</v>
      </c>
      <c r="C58" t="s">
        <v>122</v>
      </c>
      <c r="D58" s="4">
        <f>_xlfn.XLOOKUP(Table2[[#This Row],[field]],Table1[field],Table1[mata_kuliah],"")</f>
        <v>0</v>
      </c>
      <c r="E58" s="4"/>
      <c r="F58" s="4"/>
    </row>
    <row r="59" spans="1:6" x14ac:dyDescent="0.35">
      <c r="A59" s="3">
        <f t="shared" si="1"/>
        <v>58</v>
      </c>
      <c r="B59" t="s">
        <v>113</v>
      </c>
      <c r="C59" t="s">
        <v>130</v>
      </c>
      <c r="D59" s="4">
        <f>_xlfn.XLOOKUP(Table2[[#This Row],[field]],Table1[field],Table1[mata_kuliah],"")</f>
        <v>0</v>
      </c>
      <c r="E59" s="4"/>
      <c r="F59" s="4"/>
    </row>
    <row r="60" spans="1:6" x14ac:dyDescent="0.35">
      <c r="A60" s="3">
        <f t="shared" si="1"/>
        <v>59</v>
      </c>
      <c r="B60" t="s">
        <v>114</v>
      </c>
      <c r="C60" t="s">
        <v>131</v>
      </c>
      <c r="D60" s="4">
        <f>_xlfn.XLOOKUP(Table2[[#This Row],[field]],Table1[field],Table1[mata_kuliah],"")</f>
        <v>0</v>
      </c>
      <c r="E60" s="4"/>
      <c r="F60" s="4"/>
    </row>
    <row r="61" spans="1:6" x14ac:dyDescent="0.35">
      <c r="A61" s="3">
        <f t="shared" si="1"/>
        <v>60</v>
      </c>
      <c r="B61" t="s">
        <v>115</v>
      </c>
      <c r="C61" t="s">
        <v>126</v>
      </c>
      <c r="D61" s="4">
        <f>_xlfn.XLOOKUP(Table2[[#This Row],[field]],Table1[field],Table1[mata_kuliah],"")</f>
        <v>0</v>
      </c>
      <c r="E61" s="4"/>
      <c r="F61" s="4"/>
    </row>
    <row r="62" spans="1:6" x14ac:dyDescent="0.35">
      <c r="A62" s="3">
        <f t="shared" si="1"/>
        <v>61</v>
      </c>
      <c r="B62" t="s">
        <v>116</v>
      </c>
      <c r="C62" t="s">
        <v>136</v>
      </c>
      <c r="D62" s="4">
        <f>_xlfn.XLOOKUP(Table2[[#This Row],[field]],Table1[field],Table1[mata_kuliah],"")</f>
        <v>0</v>
      </c>
      <c r="E62" s="4"/>
      <c r="F62" s="4"/>
    </row>
    <row r="63" spans="1:6" x14ac:dyDescent="0.35">
      <c r="A63" s="3">
        <f t="shared" si="1"/>
        <v>62</v>
      </c>
      <c r="B63" t="s">
        <v>117</v>
      </c>
      <c r="C63" t="s">
        <v>122</v>
      </c>
      <c r="D63" s="4">
        <f>_xlfn.XLOOKUP(Table2[[#This Row],[field]],Table1[field],Table1[mata_kuliah],"")</f>
        <v>0</v>
      </c>
      <c r="E63" s="4"/>
      <c r="F63" s="4"/>
    </row>
    <row r="64" spans="1:6" x14ac:dyDescent="0.35">
      <c r="A64" s="3">
        <f t="shared" si="1"/>
        <v>63</v>
      </c>
      <c r="B64" t="s">
        <v>118</v>
      </c>
      <c r="C64" t="s">
        <v>137</v>
      </c>
      <c r="D64" s="4">
        <f>_xlfn.XLOOKUP(Table2[[#This Row],[field]],Table1[field],Table1[mata_kuliah],"")</f>
        <v>0</v>
      </c>
      <c r="E64" s="4"/>
      <c r="F64" s="4"/>
    </row>
    <row r="65" spans="1:6" x14ac:dyDescent="0.35">
      <c r="A65" s="3">
        <f t="shared" si="1"/>
        <v>64</v>
      </c>
      <c r="B65" t="s">
        <v>119</v>
      </c>
      <c r="C65" t="s">
        <v>128</v>
      </c>
      <c r="D65" s="4">
        <f>_xlfn.XLOOKUP(Table2[[#This Row],[field]],Table1[field],Table1[mata_kuliah],"")</f>
        <v>0</v>
      </c>
      <c r="E65" s="4"/>
      <c r="F65" s="4"/>
    </row>
    <row r="66" spans="1:6" x14ac:dyDescent="0.35">
      <c r="A66" s="3">
        <f t="shared" ref="A66:A67" si="2">IF(B66&lt;&gt;"",ROW()-1,"")</f>
        <v>65</v>
      </c>
      <c r="B66" t="s">
        <v>120</v>
      </c>
      <c r="C66" t="s">
        <v>129</v>
      </c>
      <c r="D66" s="4">
        <f>_xlfn.XLOOKUP(Table2[[#This Row],[field]],Table1[field],Table1[mata_kuliah],"")</f>
        <v>0</v>
      </c>
      <c r="E66" s="4"/>
      <c r="F66" s="4"/>
    </row>
    <row r="67" spans="1:6" x14ac:dyDescent="0.35">
      <c r="A67" s="3">
        <f t="shared" si="2"/>
        <v>66</v>
      </c>
      <c r="B67" t="s">
        <v>121</v>
      </c>
      <c r="C67" t="s">
        <v>135</v>
      </c>
      <c r="D67" s="4">
        <f>_xlfn.XLOOKUP(Table2[[#This Row],[field]],Table1[field],Table1[mata_kuliah],"")</f>
        <v>0</v>
      </c>
      <c r="E67" s="4"/>
      <c r="F67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meta_doc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dcterms:created xsi:type="dcterms:W3CDTF">2026-09-19T18:34:03Z</dcterms:created>
  <dcterms:modified xsi:type="dcterms:W3CDTF">2026-09-27T00:43:14Z</dcterms:modified>
</cp:coreProperties>
</file>